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sumen_Fase0" sheetId="1" r:id="rId4"/>
    <sheet state="visible" name="VLANs" sheetId="2" r:id="rId5"/>
    <sheet state="visible" name="VLSM_Privado" sheetId="3" r:id="rId6"/>
    <sheet state="visible" name="P2P_Privado" sheetId="4" r:id="rId7"/>
    <sheet state="visible" name="WAN_Publica" sheetId="5" r:id="rId8"/>
    <sheet state="visible" name="Direccionamiento" sheetId="6" r:id="rId9"/>
    <sheet state="visible" name="DHCP" sheetId="7" r:id="rId10"/>
  </sheets>
  <definedNames/>
  <calcPr/>
  <extLst>
    <ext uri="GoogleSheetsCustomDataVersion2">
      <go:sheetsCustomData xmlns:go="http://customooxmlschemas.google.com/" r:id="rId11" roundtripDataChecksum="wq2wEOcKIg1vvdYSJb4YlmvIA/b0EOa04aYhw5XQnno="/>
    </ext>
  </extLst>
</workbook>
</file>

<file path=xl/sharedStrings.xml><?xml version="1.0" encoding="utf-8"?>
<sst xmlns="http://schemas.openxmlformats.org/spreadsheetml/2006/main" count="1267" uniqueCount="522">
  <si>
    <t>TABLA DE VLANs</t>
  </si>
  <si>
    <t>SUBNETTING PRIVADO — 10.37.0.0/16</t>
  </si>
  <si>
    <t>FASE 0 — DISEÑO LÓGICO PARA GNS3</t>
  </si>
  <si>
    <t>Dato</t>
  </si>
  <si>
    <t>Definición</t>
  </si>
  <si>
    <t>Horario / grupo</t>
  </si>
  <si>
    <t>Descripción</t>
  </si>
  <si>
    <t>0733 / Grupo 7</t>
  </si>
  <si>
    <t>Bloque privado</t>
  </si>
  <si>
    <t>Hosts</t>
  </si>
  <si>
    <t>10.37.0.0/16</t>
  </si>
  <si>
    <t>Gateway adicional</t>
  </si>
  <si>
    <t>Bloque público ISP1</t>
  </si>
  <si>
    <t>Bloque</t>
  </si>
  <si>
    <t>Total requerido</t>
  </si>
  <si>
    <t>200.3.7.0/16</t>
  </si>
  <si>
    <t>Prefijo</t>
  </si>
  <si>
    <t>Topología final</t>
  </si>
  <si>
    <t>Máscara</t>
  </si>
  <si>
    <t>Un solo proyecto GNS3, implementado progresivamente</t>
  </si>
  <si>
    <t>VLAN ID</t>
  </si>
  <si>
    <t>Red</t>
  </si>
  <si>
    <t>Nombre</t>
  </si>
  <si>
    <t>Routers sugeridos en GNS3</t>
  </si>
  <si>
    <t>Primera IP</t>
  </si>
  <si>
    <t>IOSv o CSR1000v; usar Ethernet /30 si no hay módulos seriales</t>
  </si>
  <si>
    <t>Función</t>
  </si>
  <si>
    <t>Última IP</t>
  </si>
  <si>
    <t>Switch L2</t>
  </si>
  <si>
    <t>Broadcast</t>
  </si>
  <si>
    <t>IOSvL2 para A1–A7, A10–A11, PE1, P1 y PE2.</t>
  </si>
  <si>
    <t>Subred</t>
  </si>
  <si>
    <t>Gateway/equipo</t>
  </si>
  <si>
    <t>Gateway</t>
  </si>
  <si>
    <t>Capacidad útil</t>
  </si>
  <si>
    <t>Switch multicapa</t>
  </si>
  <si>
    <t>Asignación</t>
  </si>
  <si>
    <t>IOSvL2 con ip routing o IOU-L3 para D1/D2/C1/C2/CE1/A8/A9</t>
  </si>
  <si>
    <t>Estado</t>
  </si>
  <si>
    <t>Observación</t>
  </si>
  <si>
    <t>Enrutamiento empresa</t>
  </si>
  <si>
    <t>Recursos Humanos</t>
  </si>
  <si>
    <t>OSPFv2 área 0 en D1/D2/C1/C2/CE1/CE2/CE3; CE1–CE2 incluido.</t>
  </si>
  <si>
    <t>Sede principal</t>
  </si>
  <si>
    <t>Enrutamiento ISP1</t>
  </si>
  <si>
    <t>CONTABILIDAD</t>
  </si>
  <si>
    <t>OSPFv2 área 0 entre R1/R2/R3; rutas estáticas hacia R4, CE3 y CE4.</t>
  </si>
  <si>
    <t>Usuarios Contabilidad</t>
  </si>
  <si>
    <t>Enrutamiento data center</t>
  </si>
  <si>
    <t>10.37.2.0/27</t>
  </si>
  <si>
    <t>255.255.255.128</t>
  </si>
  <si>
    <t>OSPFv2 área 0 entre CE4/A8/A9.</t>
  </si>
  <si>
    <t>10.37.2.1</t>
  </si>
  <si>
    <t>10.37.0.0</t>
  </si>
  <si>
    <t>DHCP en D1</t>
  </si>
  <si>
    <t>10.37.0.1</t>
  </si>
  <si>
    <t>NAT/PAT</t>
  </si>
  <si>
    <t>Gateway en D1</t>
  </si>
  <si>
    <t>10.37.0.126</t>
  </si>
  <si>
    <t>CE3 para sede/sucursal; SOHO para redes inalámbricas</t>
  </si>
  <si>
    <t>10.37.0.127</t>
  </si>
  <si>
    <t>ENLACES PUNTO A PUNTO PRIVADOS</t>
  </si>
  <si>
    <t>VPN</t>
  </si>
  <si>
    <t>CE3 200.3.7.22 ↔ CE4 200.3.7.26</t>
  </si>
  <si>
    <t>D2</t>
  </si>
  <si>
    <t>MARKETING</t>
  </si>
  <si>
    <t>Usuarios Marketing</t>
  </si>
  <si>
    <t>STP sede</t>
  </si>
  <si>
    <t>10.37.0.192/26</t>
  </si>
  <si>
    <t>D1 root primary para 99/710/720/790; D2 root primary para 730/740/791 y secondary para VLAN 99.</t>
  </si>
  <si>
    <t>Enlace</t>
  </si>
  <si>
    <t>10.37.0.193</t>
  </si>
  <si>
    <t>STP sucursal</t>
  </si>
  <si>
    <t>D3 root primary; A7 root secondary</t>
  </si>
  <si>
    <t>Extremo A</t>
  </si>
  <si>
    <t>Regla de interfaces</t>
  </si>
  <si>
    <t>RRHH</t>
  </si>
  <si>
    <t>Los nombres Gi0/x son una propuesta lógica; ajustarlos a la imagen instalada sin cambiar la IP del enlace</t>
  </si>
  <si>
    <t>IP A</t>
  </si>
  <si>
    <t>Usuarios Recursos Humanos</t>
  </si>
  <si>
    <t>Cambio respecto al diseño previo</t>
  </si>
  <si>
    <t>10.37.0.0/25</t>
  </si>
  <si>
    <t>Extremo B</t>
  </si>
  <si>
    <t>SOHO usa la red 10.37.1.0/24. Staff y Guest comparten la misma LAN y el DHCP del Home Router.</t>
  </si>
  <si>
    <t>IP B</t>
  </si>
  <si>
    <t>DHCP en D2</t>
  </si>
  <si>
    <t>Uso</t>
  </si>
  <si>
    <t>Gateway en D2</t>
  </si>
  <si>
    <t>D1–C1</t>
  </si>
  <si>
    <t>10.37.3.0/30</t>
  </si>
  <si>
    <t>LOGISTICA</t>
  </si>
  <si>
    <t>255.255.255.252</t>
  </si>
  <si>
    <t>D1</t>
  </si>
  <si>
    <t>Usuarios Logística</t>
  </si>
  <si>
    <t>10.37.3.1</t>
  </si>
  <si>
    <t>10.37.0.128/26</t>
  </si>
  <si>
    <t>C1</t>
  </si>
  <si>
    <t>10.37.0.129</t>
  </si>
  <si>
    <t>10.37.3.2</t>
  </si>
  <si>
    <t>Enlace L3</t>
  </si>
  <si>
    <t>D1–C2</t>
  </si>
  <si>
    <t>Sucursal</t>
  </si>
  <si>
    <t>10.37.3.4/30</t>
  </si>
  <si>
    <t>VENTAS</t>
  </si>
  <si>
    <t>Usuarios Ventas</t>
  </si>
  <si>
    <t>10.37.3.5</t>
  </si>
  <si>
    <t>10.37.2.64/27</t>
  </si>
  <si>
    <t>C2</t>
  </si>
  <si>
    <t>10.37.2.65</t>
  </si>
  <si>
    <t>10.37.3.6</t>
  </si>
  <si>
    <t>DHCP remoto</t>
  </si>
  <si>
    <t>Gateway en CE2</t>
  </si>
  <si>
    <t>D2–C1</t>
  </si>
  <si>
    <t>ISP 2</t>
  </si>
  <si>
    <t>10.37.3.8/30</t>
  </si>
  <si>
    <t>METRO_ETHERNET</t>
  </si>
  <si>
    <t>Transporte CE1–CE2</t>
  </si>
  <si>
    <t>Logística</t>
  </si>
  <si>
    <t>10.37.3.9</t>
  </si>
  <si>
    <t>10.37.3.36/30</t>
  </si>
  <si>
    <t>No aplica</t>
  </si>
  <si>
    <t>10.37.3.10</t>
  </si>
  <si>
    <t>Estático</t>
  </si>
  <si>
    <t>VLAN del proveedor L2</t>
  </si>
  <si>
    <t>255.255.255.192</t>
  </si>
  <si>
    <t>D2–C2</t>
  </si>
  <si>
    <t>10.37.0.128</t>
  </si>
  <si>
    <t>10.37.3.12/30</t>
  </si>
  <si>
    <t>TESORERIA</t>
  </si>
  <si>
    <t>10.37.0.190</t>
  </si>
  <si>
    <t>Usuarios Tesorería</t>
  </si>
  <si>
    <t>10.37.0.191</t>
  </si>
  <si>
    <t>10.37.3.13</t>
  </si>
  <si>
    <t>10.37.2.32/27</t>
  </si>
  <si>
    <t>10.37.2.33</t>
  </si>
  <si>
    <t>10.37.3.14</t>
  </si>
  <si>
    <t>C1–C2</t>
  </si>
  <si>
    <t>Marketing</t>
  </si>
  <si>
    <t>10.37.3.16/30</t>
  </si>
  <si>
    <t>SERVIDORES_INTERNOS</t>
  </si>
  <si>
    <t>DHCP e intranet</t>
  </si>
  <si>
    <t>10.37.2.128/28</t>
  </si>
  <si>
    <t>10.37.3.17</t>
  </si>
  <si>
    <t>10.37.2.129</t>
  </si>
  <si>
    <t>10.37.3.18</t>
  </si>
  <si>
    <t>10.37.0.192</t>
  </si>
  <si>
    <t>Redundancia del core</t>
  </si>
  <si>
    <t>Data center</t>
  </si>
  <si>
    <t>10.37.0.254</t>
  </si>
  <si>
    <t>SERVIDORES_PRIVADOS</t>
  </si>
  <si>
    <t>APP, base de datos y servidor SYSLOG</t>
  </si>
  <si>
    <t>C1–CE1</t>
  </si>
  <si>
    <t>10.37.0.255</t>
  </si>
  <si>
    <t>10.37.2.96/27</t>
  </si>
  <si>
    <t>10.37.2.97</t>
  </si>
  <si>
    <t>10.37.3.20/30</t>
  </si>
  <si>
    <t>Gateway en A9</t>
  </si>
  <si>
    <t>SERVIDORES_PUBLICOS</t>
  </si>
  <si>
    <t>10.37.3.21</t>
  </si>
  <si>
    <t>DNS/WEB y correo</t>
  </si>
  <si>
    <t>CE1</t>
  </si>
  <si>
    <t>200.3.7.32/29</t>
  </si>
  <si>
    <t>10.37.3.22</t>
  </si>
  <si>
    <t>200.3.7.33</t>
  </si>
  <si>
    <t>Salida hacia ISP 2</t>
  </si>
  <si>
    <t>Red pública en A8</t>
  </si>
  <si>
    <t>Contabilidad</t>
  </si>
  <si>
    <t>C1–CE3</t>
  </si>
  <si>
    <t>Empresa externa</t>
  </si>
  <si>
    <t>10.37.3.24/30</t>
  </si>
  <si>
    <t>EXTERNO_5</t>
  </si>
  <si>
    <t>Servidor público 5.5.5.5</t>
  </si>
  <si>
    <t>5.5.5.0/24</t>
  </si>
  <si>
    <t>10.37.3.25</t>
  </si>
  <si>
    <t>5.5.5.1</t>
  </si>
  <si>
    <t>CE3</t>
  </si>
  <si>
    <t>10.37.3.26</t>
  </si>
  <si>
    <t>Subinterfaz en R4</t>
  </si>
  <si>
    <t>Salida ISP 1 / PAT / VPN</t>
  </si>
  <si>
    <t>255.255.255.224</t>
  </si>
  <si>
    <t>C2–CE1</t>
  </si>
  <si>
    <t>10.37.2.0</t>
  </si>
  <si>
    <t>10.37.3.28/30</t>
  </si>
  <si>
    <t>10.37.2.30</t>
  </si>
  <si>
    <t>10.37.3.29</t>
  </si>
  <si>
    <t>10.37.2.31</t>
  </si>
  <si>
    <t>10.37.3.30</t>
  </si>
  <si>
    <t>EXTERNO_8</t>
  </si>
  <si>
    <t>Redundancia hacia CE1</t>
  </si>
  <si>
    <t>Servidor público 8.8.8.8</t>
  </si>
  <si>
    <t>Reserva C2–CE3</t>
  </si>
  <si>
    <t>8.8.8.0/24</t>
  </si>
  <si>
    <t>Tesorería</t>
  </si>
  <si>
    <t>8.8.8.1</t>
  </si>
  <si>
    <t>10.37.2.32</t>
  </si>
  <si>
    <t>GESTION_PAB_A</t>
  </si>
  <si>
    <t>10.37.2.62</t>
  </si>
  <si>
    <t>Administración A1/A2/D1</t>
  </si>
  <si>
    <t>10.37.2.63</t>
  </si>
  <si>
    <t>10.37.2.144/28</t>
  </si>
  <si>
    <t>CE2</t>
  </si>
  <si>
    <t>10.37.2.145</t>
  </si>
  <si>
    <t>10.37.3.32/30</t>
  </si>
  <si>
    <t>VLAN administrativa</t>
  </si>
  <si>
    <t>Servidores privados</t>
  </si>
  <si>
    <t>GESTION_PAB_B</t>
  </si>
  <si>
    <t>Administración A3/A4/D2</t>
  </si>
  <si>
    <t>10.37.2.160/28</t>
  </si>
  <si>
    <t>10.37.2.161</t>
  </si>
  <si>
    <t>10.37.2.96</t>
  </si>
  <si>
    <t>10.37.2.126</t>
  </si>
  <si>
    <t>10.37.3.33</t>
  </si>
  <si>
    <t>10.37.2.127</t>
  </si>
  <si>
    <t>A9</t>
  </si>
  <si>
    <t>GESTION_SUCURSAL</t>
  </si>
  <si>
    <t>Administración D3/A5/A6/A7</t>
  </si>
  <si>
    <t>10.37.3.34</t>
  </si>
  <si>
    <t>10.37.2.176/29</t>
  </si>
  <si>
    <t>No cablear salvo aprobación</t>
  </si>
  <si>
    <t>10.37.2.177</t>
  </si>
  <si>
    <t>Ventas</t>
  </si>
  <si>
    <t>VLAN administrativa local</t>
  </si>
  <si>
    <t>CE1–CE2 (Metro)</t>
  </si>
  <si>
    <t>Sede principal y sucursal</t>
  </si>
  <si>
    <t>NATIVA</t>
  </si>
  <si>
    <t>VLAN nativa de trunks</t>
  </si>
  <si>
    <t>Sin direccionamiento</t>
  </si>
  <si>
    <t>10.37.3.37</t>
  </si>
  <si>
    <t>No usuarios</t>
  </si>
  <si>
    <t>10.37.3.38</t>
  </si>
  <si>
    <t>No usar para tráfico de datos</t>
  </si>
  <si>
    <t>Transportada por VLAN 752</t>
  </si>
  <si>
    <t>CE4–A8</t>
  </si>
  <si>
    <t>Todos</t>
  </si>
  <si>
    <t>10.37.3.40/30</t>
  </si>
  <si>
    <t>PUERTOS_NO_USADOS</t>
  </si>
  <si>
    <t>Aislamiento de puertos</t>
  </si>
  <si>
    <t>CE4</t>
  </si>
  <si>
    <t>10.37.3.41</t>
  </si>
  <si>
    <t>A8</t>
  </si>
  <si>
    <t>10.37.3.42</t>
  </si>
  <si>
    <t>10.37.2.64</t>
  </si>
  <si>
    <t>OSPFv2 data center</t>
  </si>
  <si>
    <t>Puertos apagados</t>
  </si>
  <si>
    <t>CE4–A9</t>
  </si>
  <si>
    <t>10.37.3.44/30</t>
  </si>
  <si>
    <t>10.37.3.45</t>
  </si>
  <si>
    <t>10.37.3.46</t>
  </si>
  <si>
    <t>A8–A9</t>
  </si>
  <si>
    <t>10.37.3.48/30</t>
  </si>
  <si>
    <t>10.37.3.49</t>
  </si>
  <si>
    <t>10.37.3.50</t>
  </si>
  <si>
    <t>Redundancia data center</t>
  </si>
  <si>
    <t>10.37.2.94</t>
  </si>
  <si>
    <t>10.37.2.95</t>
  </si>
  <si>
    <t>Granja servidores internos</t>
  </si>
  <si>
    <t>255.255.255.240</t>
  </si>
  <si>
    <t>10.37.2.128</t>
  </si>
  <si>
    <t>10.37.2.142</t>
  </si>
  <si>
    <t>10.37.2.143</t>
  </si>
  <si>
    <t>SOHO LAN — Staff y Guest</t>
  </si>
  <si>
    <t>255.255.255.0</t>
  </si>
  <si>
    <t>10.37.1.0</t>
  </si>
  <si>
    <t>10.37.1.1</t>
  </si>
  <si>
    <t>10.37.1.254</t>
  </si>
  <si>
    <t>10.37.1.255</t>
  </si>
  <si>
    <t>Home Router</t>
  </si>
  <si>
    <t>Gestión Pabellón A</t>
  </si>
  <si>
    <t>10.37.2.144</t>
  </si>
  <si>
    <t>10.37.2.158</t>
  </si>
  <si>
    <t>10.37.2.159</t>
  </si>
  <si>
    <t>Gestión Pabellón B</t>
  </si>
  <si>
    <t>10.37.2.160</t>
  </si>
  <si>
    <t>10.37.2.174</t>
  </si>
  <si>
    <t>10.37.2.175</t>
  </si>
  <si>
    <t>Gestión sucursal</t>
  </si>
  <si>
    <t>DIRECCIONAMIENTO PÚBLICO — ISP 1</t>
  </si>
  <si>
    <t>255.255.255.248</t>
  </si>
  <si>
    <t>10.37.2.176</t>
  </si>
  <si>
    <t>10.37.2.182</t>
  </si>
  <si>
    <t>10.37.2.183</t>
  </si>
  <si>
    <t>Enlace/red</t>
  </si>
  <si>
    <t>R1–R2</t>
  </si>
  <si>
    <t>200.3.7.0/30</t>
  </si>
  <si>
    <t>R1</t>
  </si>
  <si>
    <t>200.3.7.1</t>
  </si>
  <si>
    <t>R2</t>
  </si>
  <si>
    <t>200.3.7.2</t>
  </si>
  <si>
    <t>OSPF ISP1</t>
  </si>
  <si>
    <t>R1–R3</t>
  </si>
  <si>
    <t>200.3.7.4/30</t>
  </si>
  <si>
    <t>200.3.7.5</t>
  </si>
  <si>
    <t>R3</t>
  </si>
  <si>
    <t>200.3.7.6</t>
  </si>
  <si>
    <t>R2–R3</t>
  </si>
  <si>
    <t>200.3.7.8/30</t>
  </si>
  <si>
    <t>200.3.7.9</t>
  </si>
  <si>
    <t>200.3.7.10</t>
  </si>
  <si>
    <t>R1–R4</t>
  </si>
  <si>
    <t>200.3.7.12/30</t>
  </si>
  <si>
    <t>200.3.7.13</t>
  </si>
  <si>
    <t>R4</t>
  </si>
  <si>
    <t>200.3.7.14</t>
  </si>
  <si>
    <t>R2–SOHO</t>
  </si>
  <si>
    <t>200.3.7.16/30</t>
  </si>
  <si>
    <t>200.3.7.17</t>
  </si>
  <si>
    <t>SOHO-RTR</t>
  </si>
  <si>
    <t>200.3.7.18</t>
  </si>
  <si>
    <t>Enlace WAN del Home Router / PAT SOHO</t>
  </si>
  <si>
    <t>R2–CE3</t>
  </si>
  <si>
    <t>200.3.7.20/30</t>
  </si>
  <si>
    <t>200.3.7.21</t>
  </si>
  <si>
    <t>200.3.7.22</t>
  </si>
  <si>
    <t>PAT sede principal + VPN</t>
  </si>
  <si>
    <t>R3–CE4</t>
  </si>
  <si>
    <t>200.3.7.24/30</t>
  </si>
  <si>
    <t>200.3.7.25</t>
  </si>
  <si>
    <t>200.3.7.26</t>
  </si>
  <si>
    <t>VPN + data center</t>
  </si>
  <si>
    <t>Reserva WAN</t>
  </si>
  <si>
    <t>200.3.7.28/30</t>
  </si>
  <si>
    <t>Reservado</t>
  </si>
  <si>
    <t>200.3.7.29</t>
  </si>
  <si>
    <t>200.3.7.30</t>
  </si>
  <si>
    <t>Crecimiento</t>
  </si>
  <si>
    <t>Granja pública DC</t>
  </si>
  <si>
    <t>A8 gateway</t>
  </si>
  <si>
    <t>Servidores</t>
  </si>
  <si>
    <t>200.3.7.34–35</t>
  </si>
  <si>
    <t>Red pública anunciada por CE4</t>
  </si>
  <si>
    <t>TABLA GENERAL DE DIRECCIONAMIENTO PARA GNS3</t>
  </si>
  <si>
    <t>Equipo</t>
  </si>
  <si>
    <t>Interfaz</t>
  </si>
  <si>
    <t>Función / enlace</t>
  </si>
  <si>
    <t>VLAN</t>
  </si>
  <si>
    <t>Dirección IP</t>
  </si>
  <si>
    <t>Default gateway / siguiente salto</t>
  </si>
  <si>
    <t>Método</t>
  </si>
  <si>
    <t>PLAN DE POOLS DHCP</t>
  </si>
  <si>
    <t>PC1-Contabilidad</t>
  </si>
  <si>
    <t>Servidor</t>
  </si>
  <si>
    <t>eth0</t>
  </si>
  <si>
    <t>Host Contabilidad</t>
  </si>
  <si>
    <t>Pool</t>
  </si>
  <si>
    <t>10.37.2.10</t>
  </si>
  <si>
    <t>Default router</t>
  </si>
  <si>
    <t>Inicio</t>
  </si>
  <si>
    <t>Fin</t>
  </si>
  <si>
    <t>DNS primario</t>
  </si>
  <si>
    <t>DNS secundario</t>
  </si>
  <si>
    <t>Estático reservado</t>
  </si>
  <si>
    <t>Nota</t>
  </si>
  <si>
    <t>Dirección ya usada en el diseño previo</t>
  </si>
  <si>
    <t>10.37.2.2</t>
  </si>
  <si>
    <t>PC2-Marketing</t>
  </si>
  <si>
    <t>200.3.7.34</t>
  </si>
  <si>
    <t>Host Marketing</t>
  </si>
  <si>
    <t>8.8.8.8 DNS externo de respaldo; no garantiza resolución de nombres internos enterprise.com.</t>
  </si>
  <si>
    <t>Excluir gateway</t>
  </si>
  <si>
    <t>10.37.0.200</t>
  </si>
  <si>
    <t>10.37.0.194</t>
  </si>
  <si>
    <t>PC3-Marketing</t>
  </si>
  <si>
    <t>PC2/PC3 pueden reservar .200/.201</t>
  </si>
  <si>
    <t>10.37.0.201</t>
  </si>
  <si>
    <t>PC4-RRHH</t>
  </si>
  <si>
    <t>10.37.0.2</t>
  </si>
  <si>
    <t>Host RRHH</t>
  </si>
  <si>
    <t>Reservar .10/.11 para pruebas</t>
  </si>
  <si>
    <t>10.37.0.10</t>
  </si>
  <si>
    <t>10.37.0.130</t>
  </si>
  <si>
    <t>PC5-Logistica</t>
  </si>
  <si>
    <t>Host Logística</t>
  </si>
  <si>
    <t>10.37.0.140</t>
  </si>
  <si>
    <t>Reservar .140 para PC5</t>
  </si>
  <si>
    <t>DHCP4</t>
  </si>
  <si>
    <t>PC6-RRHH</t>
  </si>
  <si>
    <t>10.37.2.66</t>
  </si>
  <si>
    <t>CE2 usa ip helper-address 10.37.2.130</t>
  </si>
  <si>
    <t>10.37.0.11</t>
  </si>
  <si>
    <t>A1</t>
  </si>
  <si>
    <t>10.37.2.34</t>
  </si>
  <si>
    <t>Vlan790</t>
  </si>
  <si>
    <t>Gestión</t>
  </si>
  <si>
    <t>10.37.2.146</t>
  </si>
  <si>
    <t>SOHO</t>
  </si>
  <si>
    <t>SOHO_LAN</t>
  </si>
  <si>
    <t>-</t>
  </si>
  <si>
    <t>10.37.1.0/24</t>
  </si>
  <si>
    <t>10.37.1.100</t>
  </si>
  <si>
    <t>10.37.1.149</t>
  </si>
  <si>
    <t>DHCP y PAT en Home Router; Staff y Guest comparten la misma LAN</t>
  </si>
  <si>
    <t>A2</t>
  </si>
  <si>
    <t>10.37.2.147</t>
  </si>
  <si>
    <t>Vlan710</t>
  </si>
  <si>
    <t>Gateway Contabilidad</t>
  </si>
  <si>
    <t>Vlan720</t>
  </si>
  <si>
    <t>Gateway Marketing</t>
  </si>
  <si>
    <t>Gateway Gestión Pab. A</t>
  </si>
  <si>
    <t>Gig1/0/2</t>
  </si>
  <si>
    <t>Enlace a C1</t>
  </si>
  <si>
    <t>Configurar no switchport</t>
  </si>
  <si>
    <t>Gig1/0/1</t>
  </si>
  <si>
    <t>Enlace a C2</t>
  </si>
  <si>
    <t>A3</t>
  </si>
  <si>
    <t>Vlan791</t>
  </si>
  <si>
    <t>10.37.2.162</t>
  </si>
  <si>
    <t>A4</t>
  </si>
  <si>
    <t>10.37.2.163</t>
  </si>
  <si>
    <t>Vlan730</t>
  </si>
  <si>
    <t>Gateway RRHH</t>
  </si>
  <si>
    <t>Vlan740</t>
  </si>
  <si>
    <t>Gateway Logística</t>
  </si>
  <si>
    <t>Gateway Gestión Pab. B</t>
  </si>
  <si>
    <t>Gig1/0/3</t>
  </si>
  <si>
    <t>Campus core</t>
  </si>
  <si>
    <t>Enlace a D1</t>
  </si>
  <si>
    <t>Enlace a D2</t>
  </si>
  <si>
    <t>Gig1/0/4</t>
  </si>
  <si>
    <t>Enlace a CE1</t>
  </si>
  <si>
    <t>Gig1/0/5</t>
  </si>
  <si>
    <t>Enlace a CE3</t>
  </si>
  <si>
    <t>Enterprise edge</t>
  </si>
  <si>
    <t>Metro Ethernet hacia CE2</t>
  </si>
  <si>
    <t>Gi0/0</t>
  </si>
  <si>
    <t>Inside hacia C1</t>
  </si>
  <si>
    <t>NAT inside</t>
  </si>
  <si>
    <t>Se0/2/0</t>
  </si>
  <si>
    <t>Outside hacia R2</t>
  </si>
  <si>
    <t>NAT outside; VPN peer local</t>
  </si>
  <si>
    <t>ISP 1</t>
  </si>
  <si>
    <t>Enlace a R4</t>
  </si>
  <si>
    <t>Se0/1/0</t>
  </si>
  <si>
    <t>Enlace a R2</t>
  </si>
  <si>
    <t>Enlace a R3</t>
  </si>
  <si>
    <t>Enlace a Home Router</t>
  </si>
  <si>
    <t>Enlace a R1</t>
  </si>
  <si>
    <t>Se0/1/1</t>
  </si>
  <si>
    <t>Enlace a CE4</t>
  </si>
  <si>
    <t>Gi0/1.785</t>
  </si>
  <si>
    <t>Gateway red 5.5.5.0</t>
  </si>
  <si>
    <t>Router-on-a-stick</t>
  </si>
  <si>
    <t>Gi0/1.788</t>
  </si>
  <si>
    <t>Gateway red 8.8.8.0</t>
  </si>
  <si>
    <t>Servidor-Publico-5</t>
  </si>
  <si>
    <t>Servidor público</t>
  </si>
  <si>
    <t>5.5.5.5</t>
  </si>
  <si>
    <t>Servidor-Publico-8</t>
  </si>
  <si>
    <t>8.8.8.8</t>
  </si>
  <si>
    <t>WAN</t>
  </si>
  <si>
    <t>Ruta por 200.3.7.17</t>
  </si>
  <si>
    <t>PAT overload</t>
  </si>
  <si>
    <t>LAN</t>
  </si>
  <si>
    <t>Gateway de la red SOHO</t>
  </si>
  <si>
    <t>DHCP</t>
  </si>
  <si>
    <t>Pool DHCP SOHO</t>
  </si>
  <si>
    <t>10.37.1.100–10.37.1.149</t>
  </si>
  <si>
    <t>Staff-1</t>
  </si>
  <si>
    <t>Enterprise-Staff, 5 GHz</t>
  </si>
  <si>
    <t>Cliente 5 GHz</t>
  </si>
  <si>
    <t>10.37.1.103</t>
  </si>
  <si>
    <t>Staff-2</t>
  </si>
  <si>
    <t>10.37.1.104</t>
  </si>
  <si>
    <t>Guest-1</t>
  </si>
  <si>
    <t>Enterprise-Guest, 2.4 GHz</t>
  </si>
  <si>
    <t>Cliente 2.4 GHz</t>
  </si>
  <si>
    <t>Guest-2</t>
  </si>
  <si>
    <t>10.37.1.102</t>
  </si>
  <si>
    <t>Metro Ethernet hacia CE1</t>
  </si>
  <si>
    <t>Gi0/1.750</t>
  </si>
  <si>
    <t>Gateway Ventas</t>
  </si>
  <si>
    <t>Gi0/1.760</t>
  </si>
  <si>
    <t>Gateway Tesorería</t>
  </si>
  <si>
    <t>Gi0/1.770</t>
  </si>
  <si>
    <t>Gateway servidores internos</t>
  </si>
  <si>
    <t>Gi0/1.792</t>
  </si>
  <si>
    <t>Gateway gestión sucursal</t>
  </si>
  <si>
    <t>D3</t>
  </si>
  <si>
    <t>Vlan792</t>
  </si>
  <si>
    <t>Gestión/root primary</t>
  </si>
  <si>
    <t>10.37.2.178</t>
  </si>
  <si>
    <t>A5</t>
  </si>
  <si>
    <t>10.37.2.179</t>
  </si>
  <si>
    <t>A6</t>
  </si>
  <si>
    <t>10.37.2.180</t>
  </si>
  <si>
    <t>A7</t>
  </si>
  <si>
    <t>Gestión/root secondary</t>
  </si>
  <si>
    <t>10.37.2.181</t>
  </si>
  <si>
    <t>PC7-Ventas</t>
  </si>
  <si>
    <t>Host Ventas</t>
  </si>
  <si>
    <t>10.37.2.70</t>
  </si>
  <si>
    <t>PC8-Tesoreria</t>
  </si>
  <si>
    <t>Host Tesorería</t>
  </si>
  <si>
    <t>10.37.2.40</t>
  </si>
  <si>
    <t>PC9-Tesoreria</t>
  </si>
  <si>
    <t>10.37.2.41</t>
  </si>
  <si>
    <t>PC10-Ventas</t>
  </si>
  <si>
    <t>10.37.2.71</t>
  </si>
  <si>
    <t>Servidor DHCP sucursal</t>
  </si>
  <si>
    <t>10.37.2.130</t>
  </si>
  <si>
    <t>Intranet-WEB</t>
  </si>
  <si>
    <t>Servidor intranet</t>
  </si>
  <si>
    <t>10.37.2.131</t>
  </si>
  <si>
    <t>Enlace público a R3</t>
  </si>
  <si>
    <t>VPN peer remoto</t>
  </si>
  <si>
    <t>Enlace a A8</t>
  </si>
  <si>
    <t>Gi0/1</t>
  </si>
  <si>
    <t>Enlace a A9</t>
  </si>
  <si>
    <t>Vlan781</t>
  </si>
  <si>
    <t>Gateway servidores públicos</t>
  </si>
  <si>
    <t>DNS-WEB</t>
  </si>
  <si>
    <t>Servidor público DNS/WEB</t>
  </si>
  <si>
    <t>CORREO</t>
  </si>
  <si>
    <t>Servidor público de correo</t>
  </si>
  <si>
    <t>200.3.7.35</t>
  </si>
  <si>
    <t>Vlan780</t>
  </si>
  <si>
    <t>Gateway servidores privados</t>
  </si>
  <si>
    <t>APP-SERVER</t>
  </si>
  <si>
    <t>Servidor privado de aplicaciones</t>
  </si>
  <si>
    <t>10.37.2.100</t>
  </si>
  <si>
    <t>DB-SIEM</t>
  </si>
  <si>
    <t>Base de datos/SIEM</t>
  </si>
  <si>
    <t>10.37.2.101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</si>
</sst>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rgb="FF000000"/>
      <name val="Carlito"/>
      <scheme val="minor"/>
    </font>
    <font>
      <b/>
      <sz val="15.0"/>
      <color rgb="FFFFFFFF"/>
      <name val="Carlito"/>
    </font>
    <font>
      <b/>
      <sz val="14.0"/>
      <color rgb="FFFFFFFF"/>
      <name val="Carlito"/>
    </font>
    <font>
      <b/>
      <sz val="11.0"/>
      <color rgb="FFFFFFFF"/>
      <name val="Carlito"/>
    </font>
    <font>
      <sz val="11.0"/>
      <color theme="1"/>
      <name val="Carlito"/>
    </font>
    <font>
      <color theme="1"/>
      <name val="Carlito"/>
      <scheme val="minor"/>
    </font>
  </fonts>
  <fills count="4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5B9BD5"/>
        <bgColor rgb="FF5B9BD5"/>
      </patternFill>
    </fill>
  </fills>
  <borders count="1">
    <border/>
  </borders>
  <cellStyleXfs count="1">
    <xf borderId="0" fillId="0" fontId="0" numFmtId="0" applyAlignment="1" applyFont="1"/>
  </cellStyleXfs>
  <cellXfs count="1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/>
    </xf>
    <xf borderId="0" fillId="2" fontId="2" numFmtId="0" xfId="0" applyAlignment="1" applyFont="1">
      <alignment horizontal="center" vertical="center"/>
    </xf>
    <xf borderId="0" fillId="3" fontId="3" numFmtId="0" xfId="0" applyAlignment="1" applyFill="1" applyFont="1">
      <alignment horizontal="center"/>
    </xf>
    <xf borderId="0" fillId="0" fontId="4" numFmtId="0" xfId="0" applyAlignment="1" applyFont="1">
      <alignment shrinkToFit="0" vertical="top" wrapText="1"/>
    </xf>
    <xf borderId="0" fillId="3" fontId="3" numFmtId="0" xfId="0" applyAlignment="1" applyFont="1">
      <alignment horizontal="center" shrinkToFit="0" vertical="center" wrapText="1"/>
    </xf>
    <xf borderId="0" fillId="0" fontId="4" numFmtId="0" xfId="0" applyAlignment="1" applyFont="1">
      <alignment readingOrder="0" shrinkToFit="0" vertical="top" wrapText="1"/>
    </xf>
    <xf borderId="0" fillId="0" fontId="4" numFmtId="0" xfId="0" applyAlignment="1" applyFont="1">
      <alignment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5" numFmtId="0" xfId="0" applyAlignment="1" applyFont="1">
      <alignment readingOrder="0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9C0006"/>
      </font>
      <fill>
        <patternFill patternType="solid">
          <fgColor rgb="FFF4CCCC"/>
          <bgColor rgb="FFF4CCCC"/>
        </patternFill>
      </fill>
      <border/>
    </dxf>
    <dxf>
      <font>
        <b/>
        <color rgb="FF274E13"/>
      </font>
      <fill>
        <patternFill patternType="solid">
          <fgColor rgb="FFD9EAD3"/>
          <bgColor rgb="FFD9EAD3"/>
        </patternFill>
      </fill>
      <border/>
    </dxf>
  </dxfs>
  <tableStyles count="7">
    <tableStyle count="3" pivot="0" name="VLSM_Privado-style">
      <tableStyleElement dxfId="1" type="headerRow"/>
      <tableStyleElement dxfId="2" type="firstRowStripe"/>
      <tableStyleElement dxfId="3" type="secondRowStripe"/>
    </tableStyle>
    <tableStyle count="3" pivot="0" name="Resumen_Fase0-style">
      <tableStyleElement dxfId="1" type="headerRow"/>
      <tableStyleElement dxfId="2" type="firstRowStripe"/>
      <tableStyleElement dxfId="3" type="secondRowStripe"/>
    </tableStyle>
    <tableStyle count="3" pivot="0" name="VLANs-style">
      <tableStyleElement dxfId="1" type="headerRow"/>
      <tableStyleElement dxfId="2" type="firstRowStripe"/>
      <tableStyleElement dxfId="3" type="secondRowStripe"/>
    </tableStyle>
    <tableStyle count="3" pivot="0" name="P2P_Privado-style">
      <tableStyleElement dxfId="1" type="headerRow"/>
      <tableStyleElement dxfId="2" type="firstRowStripe"/>
      <tableStyleElement dxfId="3" type="secondRowStripe"/>
    </tableStyle>
    <tableStyle count="3" pivot="0" name="WAN_Publica-style">
      <tableStyleElement dxfId="1" type="headerRow"/>
      <tableStyleElement dxfId="2" type="firstRowStripe"/>
      <tableStyleElement dxfId="3" type="secondRowStripe"/>
    </tableStyle>
    <tableStyle count="3" pivot="0" name="Direccionamiento-style">
      <tableStyleElement dxfId="1" type="headerRow"/>
      <tableStyleElement dxfId="2" type="firstRowStripe"/>
      <tableStyleElement dxfId="3" type="secondRowStripe"/>
    </tableStyle>
    <tableStyle count="3" pivot="0" name="DHCP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3:B20" displayName="Table_3" name="Table_3" id="3">
  <tableColumns count="2">
    <tableColumn name="Dato" id="1"/>
    <tableColumn name="Definición" id="2"/>
  </tableColumns>
  <tableStyleInfo name="Resumen_Fase0-style" showColumnStripes="0" showFirstColumn="1" showLastColumn="1" showRowStripes="1"/>
</table>
</file>

<file path=xl/tables/table2.xml><?xml version="1.0" encoding="utf-8"?>
<table xmlns="http://schemas.openxmlformats.org/spreadsheetml/2006/main" ref="A3:H20" displayName="Table_2" name="Table_2" id="1">
  <tableColumns count="8">
    <tableColumn name="Bloque" id="1"/>
    <tableColumn name="VLAN ID" id="2"/>
    <tableColumn name="Nombre" id="3"/>
    <tableColumn name="Función" id="4"/>
    <tableColumn name="Subred" id="5"/>
    <tableColumn name="Gateway" id="6"/>
    <tableColumn name="Asignación" id="7"/>
    <tableColumn name="Observación" id="8"/>
  </tableColumns>
  <tableStyleInfo name="VLANs-style" showColumnStripes="0" showFirstColumn="1" showLastColumn="1" showRowStripes="1"/>
</table>
</file>

<file path=xl/tables/table3.xml><?xml version="1.0" encoding="utf-8"?>
<table xmlns="http://schemas.openxmlformats.org/spreadsheetml/2006/main" ref="A3:M15" displayName="Table_1" name="Table_1" id="2">
  <tableColumns count="13">
    <tableColumn name="Descripción" id="1"/>
    <tableColumn name="Hosts" id="2"/>
    <tableColumn name="Gateway adicional" id="3"/>
    <tableColumn name="Total requerido" id="4"/>
    <tableColumn name="Prefijo" id="5"/>
    <tableColumn name="Máscara" id="6"/>
    <tableColumn name="Red" id="7"/>
    <tableColumn name="Primera IP" id="8"/>
    <tableColumn name="Última IP" id="9"/>
    <tableColumn name="Broadcast" id="10"/>
    <tableColumn name="Gateway/equipo" id="11"/>
    <tableColumn name="Capacidad útil" id="12"/>
    <tableColumn name="Estado" id="13"/>
  </tableColumns>
  <tableStyleInfo name="VLSM_Privado-style" showColumnStripes="0" showFirstColumn="1" showLastColumn="1" showRowStripes="1"/>
</table>
</file>

<file path=xl/tables/table4.xml><?xml version="1.0" encoding="utf-8"?>
<table xmlns="http://schemas.openxmlformats.org/spreadsheetml/2006/main" ref="A3:H16" displayName="Table_4" name="Table_4" id="4">
  <tableColumns count="8">
    <tableColumn name="Enlace" id="1"/>
    <tableColumn name="Subred" id="2"/>
    <tableColumn name="Máscara" id="3"/>
    <tableColumn name="Extremo A" id="4"/>
    <tableColumn name="IP A" id="5"/>
    <tableColumn name="Extremo B" id="6"/>
    <tableColumn name="IP B" id="7"/>
    <tableColumn name="Uso" id="8"/>
  </tableColumns>
  <tableStyleInfo name="P2P_Privado-style" showColumnStripes="0" showFirstColumn="1" showLastColumn="1" showRowStripes="1"/>
</table>
</file>

<file path=xl/tables/table5.xml><?xml version="1.0" encoding="utf-8"?>
<table xmlns="http://schemas.openxmlformats.org/spreadsheetml/2006/main" ref="A3:H12" displayName="Table_5" name="Table_5" id="5">
  <tableColumns count="8">
    <tableColumn name="Enlace/red" id="1"/>
    <tableColumn name="Subred" id="2"/>
    <tableColumn name="Máscara" id="3"/>
    <tableColumn name="Extremo A" id="4"/>
    <tableColumn name="IP A" id="5"/>
    <tableColumn name="Extremo B" id="6"/>
    <tableColumn name="IP B" id="7"/>
    <tableColumn name="Uso" id="8"/>
  </tableColumns>
  <tableStyleInfo name="WAN_Publica-style" showColumnStripes="0" showFirstColumn="1" showLastColumn="1" showRowStripes="1"/>
</table>
</file>

<file path=xl/tables/table6.xml><?xml version="1.0" encoding="utf-8"?>
<table xmlns="http://schemas.openxmlformats.org/spreadsheetml/2006/main" ref="A3:J87" displayName="Table_6" name="Table_6" id="6">
  <tableColumns count="10">
    <tableColumn name="Bloque" id="1"/>
    <tableColumn name="Equipo" id="2"/>
    <tableColumn name="Interfaz" id="3"/>
    <tableColumn name="Función / enlace" id="4"/>
    <tableColumn name="VLAN" id="5"/>
    <tableColumn name="Dirección IP" id="6"/>
    <tableColumn name="Máscara" id="7"/>
    <tableColumn name="Default gateway / siguiente salto" id="8"/>
    <tableColumn name="Método" id="9"/>
    <tableColumn name="Observación" id="10"/>
  </tableColumns>
  <tableStyleInfo name="Direccionamiento-style" showColumnStripes="0" showFirstColumn="1" showLastColumn="1" showRowStripes="1"/>
</table>
</file>

<file path=xl/tables/table7.xml><?xml version="1.0" encoding="utf-8"?>
<table xmlns="http://schemas.openxmlformats.org/spreadsheetml/2006/main" ref="A3:J10" displayName="Table_7" name="Table_7" id="7">
  <tableColumns count="10">
    <tableColumn name="Servidor" id="1"/>
    <tableColumn name="Pool" id="2"/>
    <tableColumn name="VLAN" id="3"/>
    <tableColumn name="Subred" id="4"/>
    <tableColumn name="Default router" id="5"/>
    <tableColumn name="Inicio" id="6"/>
    <tableColumn name="Fin" id="7"/>
    <tableColumn name="DNS primario" id="8"/>
    <tableColumn name="DNS secundario" id="9"/>
    <tableColumn name="Nota" id="10"/>
  </tableColumns>
  <tableStyleInfo name="DHCP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70.0"/>
    <col customWidth="1" min="3" max="26" width="8.63"/>
  </cols>
  <sheetData>
    <row r="1" ht="30.0" customHeight="1">
      <c r="A1" s="1" t="s">
        <v>2</v>
      </c>
    </row>
    <row r="3">
      <c r="A3" s="3" t="s">
        <v>3</v>
      </c>
      <c r="B3" s="3" t="s">
        <v>4</v>
      </c>
    </row>
    <row r="4">
      <c r="A4" s="4" t="s">
        <v>5</v>
      </c>
      <c r="B4" s="4" t="s">
        <v>7</v>
      </c>
    </row>
    <row r="5">
      <c r="A5" s="4" t="s">
        <v>8</v>
      </c>
      <c r="B5" s="4" t="s">
        <v>10</v>
      </c>
    </row>
    <row r="6">
      <c r="A6" s="4" t="s">
        <v>12</v>
      </c>
      <c r="B6" s="4" t="s">
        <v>15</v>
      </c>
    </row>
    <row r="7">
      <c r="A7" s="4" t="s">
        <v>17</v>
      </c>
      <c r="B7" s="4" t="s">
        <v>19</v>
      </c>
    </row>
    <row r="8">
      <c r="A8" s="4" t="s">
        <v>23</v>
      </c>
      <c r="B8" s="4" t="s">
        <v>25</v>
      </c>
    </row>
    <row r="9">
      <c r="A9" s="4" t="s">
        <v>28</v>
      </c>
      <c r="B9" s="6" t="s">
        <v>30</v>
      </c>
    </row>
    <row r="10">
      <c r="A10" s="4" t="s">
        <v>35</v>
      </c>
      <c r="B10" s="4" t="s">
        <v>37</v>
      </c>
    </row>
    <row r="11">
      <c r="A11" s="4" t="s">
        <v>40</v>
      </c>
      <c r="B11" s="6" t="s">
        <v>42</v>
      </c>
    </row>
    <row r="12">
      <c r="A12" s="4" t="s">
        <v>44</v>
      </c>
      <c r="B12" s="6" t="s">
        <v>46</v>
      </c>
    </row>
    <row r="13">
      <c r="A13" s="4" t="s">
        <v>48</v>
      </c>
      <c r="B13" s="6" t="s">
        <v>51</v>
      </c>
    </row>
    <row r="14">
      <c r="A14" s="4" t="s">
        <v>56</v>
      </c>
      <c r="B14" s="4" t="s">
        <v>59</v>
      </c>
    </row>
    <row r="15">
      <c r="A15" s="4" t="s">
        <v>62</v>
      </c>
      <c r="B15" s="4" t="s">
        <v>63</v>
      </c>
    </row>
    <row r="16">
      <c r="A16" s="4" t="s">
        <v>67</v>
      </c>
      <c r="B16" s="6" t="s">
        <v>69</v>
      </c>
    </row>
    <row r="17">
      <c r="A17" s="4" t="s">
        <v>72</v>
      </c>
      <c r="B17" s="4" t="s">
        <v>73</v>
      </c>
    </row>
    <row r="18">
      <c r="A18" s="4" t="s">
        <v>75</v>
      </c>
      <c r="B18" s="4" t="s">
        <v>77</v>
      </c>
    </row>
    <row r="19">
      <c r="A19" s="4" t="s">
        <v>80</v>
      </c>
      <c r="B19" s="6" t="s">
        <v>83</v>
      </c>
    </row>
    <row r="20">
      <c r="A20" s="4"/>
      <c r="B20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10.0"/>
    <col customWidth="1" min="3" max="3" width="24.0"/>
    <col customWidth="1" min="4" max="4" width="28.0"/>
    <col customWidth="1" min="5" max="5" width="20.0"/>
    <col customWidth="1" min="6" max="7" width="18.0"/>
    <col customWidth="1" min="8" max="8" width="34.0"/>
    <col customWidth="1" min="9" max="26" width="8.63"/>
  </cols>
  <sheetData>
    <row r="1" ht="27.75" customHeight="1">
      <c r="A1" s="2" t="s">
        <v>0</v>
      </c>
    </row>
    <row r="3">
      <c r="A3" s="5" t="s">
        <v>13</v>
      </c>
      <c r="B3" s="5" t="s">
        <v>20</v>
      </c>
      <c r="C3" s="5" t="s">
        <v>22</v>
      </c>
      <c r="D3" s="5" t="s">
        <v>26</v>
      </c>
      <c r="E3" s="5" t="s">
        <v>31</v>
      </c>
      <c r="F3" s="5" t="s">
        <v>33</v>
      </c>
      <c r="G3" s="5" t="s">
        <v>36</v>
      </c>
      <c r="H3" s="5" t="s">
        <v>39</v>
      </c>
    </row>
    <row r="4">
      <c r="A4" s="7" t="s">
        <v>43</v>
      </c>
      <c r="B4" s="7">
        <v>710.0</v>
      </c>
      <c r="C4" s="7" t="s">
        <v>45</v>
      </c>
      <c r="D4" s="7" t="s">
        <v>47</v>
      </c>
      <c r="E4" s="7" t="s">
        <v>49</v>
      </c>
      <c r="F4" s="7" t="s">
        <v>52</v>
      </c>
      <c r="G4" s="7" t="s">
        <v>54</v>
      </c>
      <c r="H4" s="7" t="s">
        <v>57</v>
      </c>
    </row>
    <row r="5">
      <c r="A5" s="7" t="s">
        <v>43</v>
      </c>
      <c r="B5" s="7">
        <v>720.0</v>
      </c>
      <c r="C5" s="7" t="s">
        <v>65</v>
      </c>
      <c r="D5" s="7" t="s">
        <v>66</v>
      </c>
      <c r="E5" s="7" t="s">
        <v>68</v>
      </c>
      <c r="F5" s="7" t="s">
        <v>71</v>
      </c>
      <c r="G5" s="7" t="s">
        <v>54</v>
      </c>
      <c r="H5" s="7" t="s">
        <v>57</v>
      </c>
    </row>
    <row r="6">
      <c r="A6" s="7" t="s">
        <v>43</v>
      </c>
      <c r="B6" s="7">
        <v>730.0</v>
      </c>
      <c r="C6" s="7" t="s">
        <v>76</v>
      </c>
      <c r="D6" s="7" t="s">
        <v>79</v>
      </c>
      <c r="E6" s="7" t="s">
        <v>81</v>
      </c>
      <c r="F6" s="7" t="s">
        <v>55</v>
      </c>
      <c r="G6" s="7" t="s">
        <v>85</v>
      </c>
      <c r="H6" s="7" t="s">
        <v>87</v>
      </c>
    </row>
    <row r="7">
      <c r="A7" s="7" t="s">
        <v>43</v>
      </c>
      <c r="B7" s="7">
        <v>740.0</v>
      </c>
      <c r="C7" s="7" t="s">
        <v>90</v>
      </c>
      <c r="D7" s="7" t="s">
        <v>93</v>
      </c>
      <c r="E7" s="7" t="s">
        <v>95</v>
      </c>
      <c r="F7" s="7" t="s">
        <v>97</v>
      </c>
      <c r="G7" s="7" t="s">
        <v>85</v>
      </c>
      <c r="H7" s="7" t="s">
        <v>87</v>
      </c>
    </row>
    <row r="8">
      <c r="A8" s="7" t="s">
        <v>101</v>
      </c>
      <c r="B8" s="7">
        <v>750.0</v>
      </c>
      <c r="C8" s="7" t="s">
        <v>103</v>
      </c>
      <c r="D8" s="7" t="s">
        <v>104</v>
      </c>
      <c r="E8" s="7" t="s">
        <v>106</v>
      </c>
      <c r="F8" s="7" t="s">
        <v>108</v>
      </c>
      <c r="G8" s="7" t="s">
        <v>110</v>
      </c>
      <c r="H8" s="7" t="s">
        <v>111</v>
      </c>
    </row>
    <row r="9">
      <c r="A9" s="7" t="s">
        <v>113</v>
      </c>
      <c r="B9" s="7">
        <v>752.0</v>
      </c>
      <c r="C9" s="7" t="s">
        <v>115</v>
      </c>
      <c r="D9" s="7" t="s">
        <v>116</v>
      </c>
      <c r="E9" s="7" t="s">
        <v>119</v>
      </c>
      <c r="F9" s="7" t="s">
        <v>120</v>
      </c>
      <c r="G9" s="7" t="s">
        <v>122</v>
      </c>
      <c r="H9" s="7" t="s">
        <v>123</v>
      </c>
    </row>
    <row r="10">
      <c r="A10" s="7" t="s">
        <v>101</v>
      </c>
      <c r="B10" s="7">
        <v>760.0</v>
      </c>
      <c r="C10" s="7" t="s">
        <v>128</v>
      </c>
      <c r="D10" s="7" t="s">
        <v>130</v>
      </c>
      <c r="E10" s="7" t="s">
        <v>133</v>
      </c>
      <c r="F10" s="7" t="s">
        <v>134</v>
      </c>
      <c r="G10" s="7" t="s">
        <v>110</v>
      </c>
      <c r="H10" s="7" t="s">
        <v>111</v>
      </c>
    </row>
    <row r="11">
      <c r="A11" s="7" t="s">
        <v>101</v>
      </c>
      <c r="B11" s="7">
        <v>770.0</v>
      </c>
      <c r="C11" s="7" t="s">
        <v>139</v>
      </c>
      <c r="D11" s="7" t="s">
        <v>140</v>
      </c>
      <c r="E11" s="7" t="s">
        <v>141</v>
      </c>
      <c r="F11" s="7" t="s">
        <v>143</v>
      </c>
      <c r="G11" s="7" t="s">
        <v>122</v>
      </c>
      <c r="H11" s="7" t="s">
        <v>111</v>
      </c>
    </row>
    <row r="12">
      <c r="A12" s="7" t="s">
        <v>147</v>
      </c>
      <c r="B12" s="7">
        <v>780.0</v>
      </c>
      <c r="C12" s="7" t="s">
        <v>149</v>
      </c>
      <c r="D12" s="8" t="s">
        <v>150</v>
      </c>
      <c r="E12" s="7" t="s">
        <v>153</v>
      </c>
      <c r="F12" s="7" t="s">
        <v>154</v>
      </c>
      <c r="G12" s="7" t="s">
        <v>122</v>
      </c>
      <c r="H12" s="7" t="s">
        <v>156</v>
      </c>
    </row>
    <row r="13">
      <c r="A13" s="7" t="s">
        <v>147</v>
      </c>
      <c r="B13" s="7">
        <v>781.0</v>
      </c>
      <c r="C13" s="7" t="s">
        <v>157</v>
      </c>
      <c r="D13" s="7" t="s">
        <v>159</v>
      </c>
      <c r="E13" s="7" t="s">
        <v>161</v>
      </c>
      <c r="F13" s="7" t="s">
        <v>163</v>
      </c>
      <c r="G13" s="7" t="s">
        <v>122</v>
      </c>
      <c r="H13" s="7" t="s">
        <v>165</v>
      </c>
    </row>
    <row r="14">
      <c r="A14" s="7" t="s">
        <v>168</v>
      </c>
      <c r="B14" s="7">
        <v>785.0</v>
      </c>
      <c r="C14" s="7" t="s">
        <v>170</v>
      </c>
      <c r="D14" s="7" t="s">
        <v>171</v>
      </c>
      <c r="E14" s="7" t="s">
        <v>172</v>
      </c>
      <c r="F14" s="7" t="s">
        <v>174</v>
      </c>
      <c r="G14" s="7" t="s">
        <v>122</v>
      </c>
      <c r="H14" s="7" t="s">
        <v>177</v>
      </c>
    </row>
    <row r="15">
      <c r="A15" s="7" t="s">
        <v>168</v>
      </c>
      <c r="B15" s="7">
        <v>788.0</v>
      </c>
      <c r="C15" s="7" t="s">
        <v>187</v>
      </c>
      <c r="D15" s="7" t="s">
        <v>189</v>
      </c>
      <c r="E15" s="7" t="s">
        <v>191</v>
      </c>
      <c r="F15" s="7" t="s">
        <v>193</v>
      </c>
      <c r="G15" s="7" t="s">
        <v>122</v>
      </c>
      <c r="H15" s="7" t="s">
        <v>177</v>
      </c>
    </row>
    <row r="16">
      <c r="A16" s="7" t="s">
        <v>43</v>
      </c>
      <c r="B16" s="7">
        <v>790.0</v>
      </c>
      <c r="C16" s="7" t="s">
        <v>195</v>
      </c>
      <c r="D16" s="7" t="s">
        <v>197</v>
      </c>
      <c r="E16" s="7" t="s">
        <v>199</v>
      </c>
      <c r="F16" s="7" t="s">
        <v>201</v>
      </c>
      <c r="G16" s="7" t="s">
        <v>122</v>
      </c>
      <c r="H16" s="7" t="s">
        <v>203</v>
      </c>
    </row>
    <row r="17">
      <c r="A17" s="7" t="s">
        <v>43</v>
      </c>
      <c r="B17" s="7">
        <v>791.0</v>
      </c>
      <c r="C17" s="7" t="s">
        <v>205</v>
      </c>
      <c r="D17" s="7" t="s">
        <v>206</v>
      </c>
      <c r="E17" s="7" t="s">
        <v>207</v>
      </c>
      <c r="F17" s="7" t="s">
        <v>208</v>
      </c>
      <c r="G17" s="7" t="s">
        <v>122</v>
      </c>
      <c r="H17" s="7" t="s">
        <v>203</v>
      </c>
    </row>
    <row r="18">
      <c r="A18" s="7" t="s">
        <v>101</v>
      </c>
      <c r="B18" s="7">
        <v>792.0</v>
      </c>
      <c r="C18" s="7" t="s">
        <v>214</v>
      </c>
      <c r="D18" s="7" t="s">
        <v>215</v>
      </c>
      <c r="E18" s="7" t="s">
        <v>217</v>
      </c>
      <c r="F18" s="7" t="s">
        <v>219</v>
      </c>
      <c r="G18" s="7" t="s">
        <v>122</v>
      </c>
      <c r="H18" s="7" t="s">
        <v>221</v>
      </c>
    </row>
    <row r="19" ht="15.75" customHeight="1">
      <c r="A19" s="8" t="s">
        <v>223</v>
      </c>
      <c r="B19" s="7">
        <v>99.0</v>
      </c>
      <c r="C19" s="7" t="s">
        <v>224</v>
      </c>
      <c r="D19" s="7" t="s">
        <v>225</v>
      </c>
      <c r="E19" s="7" t="s">
        <v>226</v>
      </c>
      <c r="F19" s="7" t="s">
        <v>120</v>
      </c>
      <c r="G19" s="7" t="s">
        <v>228</v>
      </c>
      <c r="H19" s="7" t="s">
        <v>230</v>
      </c>
    </row>
    <row r="20" ht="15.75" customHeight="1">
      <c r="A20" s="7" t="s">
        <v>233</v>
      </c>
      <c r="B20" s="7">
        <v>799.0</v>
      </c>
      <c r="C20" s="7" t="s">
        <v>235</v>
      </c>
      <c r="D20" s="7" t="s">
        <v>236</v>
      </c>
      <c r="E20" s="7" t="s">
        <v>226</v>
      </c>
      <c r="F20" s="7" t="s">
        <v>120</v>
      </c>
      <c r="G20" s="7" t="s">
        <v>228</v>
      </c>
      <c r="H20" s="7" t="s">
        <v>243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10.0"/>
    <col customWidth="1" min="3" max="3" width="16.0"/>
    <col customWidth="1" min="4" max="4" width="15.0"/>
    <col customWidth="1" min="5" max="5" width="10.0"/>
    <col customWidth="1" min="6" max="10" width="18.0"/>
    <col customWidth="1" min="11" max="11" width="16.0"/>
    <col customWidth="1" min="12" max="12" width="14.0"/>
    <col customWidth="1" min="13" max="13" width="12.0"/>
    <col customWidth="1" min="14" max="26" width="8.63"/>
  </cols>
  <sheetData>
    <row r="1" ht="27.75" customHeight="1">
      <c r="A1" s="2" t="s">
        <v>1</v>
      </c>
    </row>
    <row r="3">
      <c r="A3" s="5" t="s">
        <v>6</v>
      </c>
      <c r="B3" s="5" t="s">
        <v>9</v>
      </c>
      <c r="C3" s="5" t="s">
        <v>11</v>
      </c>
      <c r="D3" s="5" t="s">
        <v>14</v>
      </c>
      <c r="E3" s="5" t="s">
        <v>16</v>
      </c>
      <c r="F3" s="5" t="s">
        <v>18</v>
      </c>
      <c r="G3" s="5" t="s">
        <v>21</v>
      </c>
      <c r="H3" s="5" t="s">
        <v>24</v>
      </c>
      <c r="I3" s="5" t="s">
        <v>27</v>
      </c>
      <c r="J3" s="5" t="s">
        <v>29</v>
      </c>
      <c r="K3" s="5" t="s">
        <v>32</v>
      </c>
      <c r="L3" s="5" t="s">
        <v>34</v>
      </c>
      <c r="M3" s="5" t="s">
        <v>38</v>
      </c>
    </row>
    <row r="4">
      <c r="A4" s="7" t="s">
        <v>41</v>
      </c>
      <c r="B4" s="7">
        <v>75.0</v>
      </c>
      <c r="C4" s="7">
        <v>1.0</v>
      </c>
      <c r="D4" s="7">
        <v>76.0</v>
      </c>
      <c r="E4" s="7">
        <v>25.0</v>
      </c>
      <c r="F4" s="7" t="s">
        <v>50</v>
      </c>
      <c r="G4" s="7" t="s">
        <v>53</v>
      </c>
      <c r="H4" s="7" t="s">
        <v>55</v>
      </c>
      <c r="I4" s="7" t="s">
        <v>58</v>
      </c>
      <c r="J4" s="7" t="s">
        <v>60</v>
      </c>
      <c r="K4" s="7" t="s">
        <v>64</v>
      </c>
      <c r="L4" s="7">
        <f t="shared" ref="L4:L15" si="1">2^(32-E4)-2</f>
        <v>126</v>
      </c>
      <c r="M4" s="7" t="str">
        <f t="shared" ref="M4:M15" si="2">IF(L4&gt;=D4,"OK","REVISAR")</f>
        <v>OK</v>
      </c>
    </row>
    <row r="5">
      <c r="A5" s="7" t="s">
        <v>117</v>
      </c>
      <c r="B5" s="7">
        <v>55.0</v>
      </c>
      <c r="C5" s="7">
        <v>1.0</v>
      </c>
      <c r="D5" s="7">
        <v>56.0</v>
      </c>
      <c r="E5" s="7">
        <v>26.0</v>
      </c>
      <c r="F5" s="7" t="s">
        <v>124</v>
      </c>
      <c r="G5" s="7" t="s">
        <v>126</v>
      </c>
      <c r="H5" s="7" t="s">
        <v>97</v>
      </c>
      <c r="I5" s="7" t="s">
        <v>129</v>
      </c>
      <c r="J5" s="7" t="s">
        <v>131</v>
      </c>
      <c r="K5" s="7" t="s">
        <v>64</v>
      </c>
      <c r="L5" s="7">
        <f t="shared" si="1"/>
        <v>62</v>
      </c>
      <c r="M5" s="7" t="str">
        <f t="shared" si="2"/>
        <v>OK</v>
      </c>
    </row>
    <row r="6">
      <c r="A6" s="7" t="s">
        <v>137</v>
      </c>
      <c r="B6" s="7">
        <v>43.0</v>
      </c>
      <c r="C6" s="7">
        <v>1.0</v>
      </c>
      <c r="D6" s="7">
        <v>44.0</v>
      </c>
      <c r="E6" s="7">
        <v>26.0</v>
      </c>
      <c r="F6" s="7" t="s">
        <v>124</v>
      </c>
      <c r="G6" s="7" t="s">
        <v>145</v>
      </c>
      <c r="H6" s="7" t="s">
        <v>71</v>
      </c>
      <c r="I6" s="7" t="s">
        <v>148</v>
      </c>
      <c r="J6" s="7" t="s">
        <v>152</v>
      </c>
      <c r="K6" s="7" t="s">
        <v>92</v>
      </c>
      <c r="L6" s="7">
        <f t="shared" si="1"/>
        <v>62</v>
      </c>
      <c r="M6" s="7" t="str">
        <f t="shared" si="2"/>
        <v>OK</v>
      </c>
    </row>
    <row r="7">
      <c r="A7" s="7" t="s">
        <v>166</v>
      </c>
      <c r="B7" s="7">
        <v>23.0</v>
      </c>
      <c r="C7" s="7">
        <v>1.0</v>
      </c>
      <c r="D7" s="7">
        <v>24.0</v>
      </c>
      <c r="E7" s="7">
        <v>27.0</v>
      </c>
      <c r="F7" s="7" t="s">
        <v>179</v>
      </c>
      <c r="G7" s="7" t="s">
        <v>181</v>
      </c>
      <c r="H7" s="7" t="s">
        <v>52</v>
      </c>
      <c r="I7" s="7" t="s">
        <v>183</v>
      </c>
      <c r="J7" s="7" t="s">
        <v>185</v>
      </c>
      <c r="K7" s="7" t="s">
        <v>92</v>
      </c>
      <c r="L7" s="7">
        <f t="shared" si="1"/>
        <v>30</v>
      </c>
      <c r="M7" s="7" t="str">
        <f t="shared" si="2"/>
        <v>OK</v>
      </c>
    </row>
    <row r="8">
      <c r="A8" s="7" t="s">
        <v>192</v>
      </c>
      <c r="B8" s="7">
        <v>20.0</v>
      </c>
      <c r="C8" s="7">
        <v>1.0</v>
      </c>
      <c r="D8" s="7">
        <v>21.0</v>
      </c>
      <c r="E8" s="7">
        <v>27.0</v>
      </c>
      <c r="F8" s="7" t="s">
        <v>179</v>
      </c>
      <c r="G8" s="7" t="s">
        <v>194</v>
      </c>
      <c r="H8" s="7" t="s">
        <v>134</v>
      </c>
      <c r="I8" s="7" t="s">
        <v>196</v>
      </c>
      <c r="J8" s="7" t="s">
        <v>198</v>
      </c>
      <c r="K8" s="7" t="s">
        <v>200</v>
      </c>
      <c r="L8" s="7">
        <f t="shared" si="1"/>
        <v>30</v>
      </c>
      <c r="M8" s="7" t="str">
        <f t="shared" si="2"/>
        <v>OK</v>
      </c>
    </row>
    <row r="9">
      <c r="A9" s="7" t="s">
        <v>204</v>
      </c>
      <c r="B9" s="7">
        <v>15.0</v>
      </c>
      <c r="C9" s="7">
        <v>1.0</v>
      </c>
      <c r="D9" s="7">
        <v>16.0</v>
      </c>
      <c r="E9" s="7">
        <v>27.0</v>
      </c>
      <c r="F9" s="7" t="s">
        <v>179</v>
      </c>
      <c r="G9" s="7" t="s">
        <v>209</v>
      </c>
      <c r="H9" s="7" t="s">
        <v>154</v>
      </c>
      <c r="I9" s="7" t="s">
        <v>210</v>
      </c>
      <c r="J9" s="7" t="s">
        <v>212</v>
      </c>
      <c r="K9" s="7" t="s">
        <v>213</v>
      </c>
      <c r="L9" s="7">
        <f t="shared" si="1"/>
        <v>30</v>
      </c>
      <c r="M9" s="7" t="str">
        <f t="shared" si="2"/>
        <v>OK</v>
      </c>
    </row>
    <row r="10">
      <c r="A10" s="7" t="s">
        <v>220</v>
      </c>
      <c r="B10" s="7">
        <v>14.0</v>
      </c>
      <c r="C10" s="7">
        <v>1.0</v>
      </c>
      <c r="D10" s="7">
        <v>15.0</v>
      </c>
      <c r="E10" s="7">
        <v>27.0</v>
      </c>
      <c r="F10" s="7" t="s">
        <v>179</v>
      </c>
      <c r="G10" s="7" t="s">
        <v>241</v>
      </c>
      <c r="H10" s="7" t="s">
        <v>108</v>
      </c>
      <c r="I10" s="7" t="s">
        <v>253</v>
      </c>
      <c r="J10" s="7" t="s">
        <v>254</v>
      </c>
      <c r="K10" s="7" t="s">
        <v>200</v>
      </c>
      <c r="L10" s="7">
        <f t="shared" si="1"/>
        <v>30</v>
      </c>
      <c r="M10" s="7" t="str">
        <f t="shared" si="2"/>
        <v>OK</v>
      </c>
    </row>
    <row r="11">
      <c r="A11" s="7" t="s">
        <v>255</v>
      </c>
      <c r="B11" s="7">
        <v>10.0</v>
      </c>
      <c r="C11" s="7">
        <v>1.0</v>
      </c>
      <c r="D11" s="7">
        <v>11.0</v>
      </c>
      <c r="E11" s="7">
        <v>28.0</v>
      </c>
      <c r="F11" s="7" t="s">
        <v>256</v>
      </c>
      <c r="G11" s="7" t="s">
        <v>257</v>
      </c>
      <c r="H11" s="7" t="s">
        <v>143</v>
      </c>
      <c r="I11" s="7" t="s">
        <v>258</v>
      </c>
      <c r="J11" s="7" t="s">
        <v>259</v>
      </c>
      <c r="K11" s="7" t="s">
        <v>200</v>
      </c>
      <c r="L11" s="7">
        <f t="shared" si="1"/>
        <v>14</v>
      </c>
      <c r="M11" s="7" t="str">
        <f t="shared" si="2"/>
        <v>OK</v>
      </c>
    </row>
    <row r="12">
      <c r="A12" s="8" t="s">
        <v>260</v>
      </c>
      <c r="B12" s="8">
        <v>50.0</v>
      </c>
      <c r="C12" s="7">
        <v>1.0</v>
      </c>
      <c r="D12" s="8">
        <v>51.0</v>
      </c>
      <c r="E12" s="8">
        <v>24.0</v>
      </c>
      <c r="F12" s="8" t="s">
        <v>261</v>
      </c>
      <c r="G12" s="8" t="s">
        <v>262</v>
      </c>
      <c r="H12" s="7" t="s">
        <v>263</v>
      </c>
      <c r="I12" s="8" t="s">
        <v>264</v>
      </c>
      <c r="J12" s="8" t="s">
        <v>265</v>
      </c>
      <c r="K12" s="8" t="s">
        <v>266</v>
      </c>
      <c r="L12" s="7">
        <f t="shared" si="1"/>
        <v>254</v>
      </c>
      <c r="M12" s="7" t="str">
        <f t="shared" si="2"/>
        <v>OK</v>
      </c>
    </row>
    <row r="13">
      <c r="A13" s="7" t="s">
        <v>267</v>
      </c>
      <c r="B13" s="8">
        <v>2.0</v>
      </c>
      <c r="C13" s="7">
        <v>1.0</v>
      </c>
      <c r="D13" s="8">
        <v>3.0</v>
      </c>
      <c r="E13" s="7">
        <v>28.0</v>
      </c>
      <c r="F13" s="7" t="s">
        <v>256</v>
      </c>
      <c r="G13" s="7" t="s">
        <v>268</v>
      </c>
      <c r="H13" s="7" t="s">
        <v>201</v>
      </c>
      <c r="I13" s="7" t="s">
        <v>269</v>
      </c>
      <c r="J13" s="7" t="s">
        <v>270</v>
      </c>
      <c r="K13" s="7" t="s">
        <v>92</v>
      </c>
      <c r="L13" s="7">
        <f t="shared" si="1"/>
        <v>14</v>
      </c>
      <c r="M13" s="7" t="str">
        <f t="shared" si="2"/>
        <v>OK</v>
      </c>
    </row>
    <row r="14">
      <c r="A14" s="7" t="s">
        <v>271</v>
      </c>
      <c r="B14" s="8">
        <v>2.0</v>
      </c>
      <c r="C14" s="7">
        <v>1.0</v>
      </c>
      <c r="D14" s="8">
        <v>3.0</v>
      </c>
      <c r="E14" s="7">
        <v>28.0</v>
      </c>
      <c r="F14" s="7" t="s">
        <v>256</v>
      </c>
      <c r="G14" s="7" t="s">
        <v>272</v>
      </c>
      <c r="H14" s="7" t="s">
        <v>208</v>
      </c>
      <c r="I14" s="7" t="s">
        <v>273</v>
      </c>
      <c r="J14" s="7" t="s">
        <v>274</v>
      </c>
      <c r="K14" s="7" t="s">
        <v>64</v>
      </c>
      <c r="L14" s="7">
        <f t="shared" si="1"/>
        <v>14</v>
      </c>
      <c r="M14" s="7" t="str">
        <f t="shared" si="2"/>
        <v>OK</v>
      </c>
    </row>
    <row r="15">
      <c r="A15" s="7" t="s">
        <v>275</v>
      </c>
      <c r="B15" s="7">
        <v>4.0</v>
      </c>
      <c r="C15" s="7">
        <v>1.0</v>
      </c>
      <c r="D15" s="7">
        <v>5.0</v>
      </c>
      <c r="E15" s="7">
        <v>29.0</v>
      </c>
      <c r="F15" s="7" t="s">
        <v>277</v>
      </c>
      <c r="G15" s="7" t="s">
        <v>278</v>
      </c>
      <c r="H15" s="7" t="s">
        <v>219</v>
      </c>
      <c r="I15" s="7" t="s">
        <v>279</v>
      </c>
      <c r="J15" s="7" t="s">
        <v>280</v>
      </c>
      <c r="K15" s="7" t="s">
        <v>200</v>
      </c>
      <c r="L15" s="7">
        <f t="shared" si="1"/>
        <v>6</v>
      </c>
      <c r="M15" s="7" t="str">
        <f t="shared" si="2"/>
        <v>OK</v>
      </c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">
    <mergeCell ref="A1:M1"/>
  </mergeCells>
  <conditionalFormatting sqref="M4:M15">
    <cfRule type="expression" dxfId="4" priority="1">
      <formula>M4="REVISAR"</formula>
    </cfRule>
  </conditionalFormatting>
  <conditionalFormatting sqref="M4:M15">
    <cfRule type="expression" dxfId="5" priority="2">
      <formula>M4="OK"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20.0"/>
    <col customWidth="1" min="3" max="3" width="18.0"/>
    <col customWidth="1" min="4" max="4" width="14.0"/>
    <col customWidth="1" min="5" max="5" width="18.0"/>
    <col customWidth="1" min="6" max="6" width="14.0"/>
    <col customWidth="1" min="7" max="7" width="18.0"/>
    <col customWidth="1" min="8" max="8" width="34.0"/>
    <col customWidth="1" min="9" max="26" width="8.63"/>
  </cols>
  <sheetData>
    <row r="1" ht="27.75" customHeight="1">
      <c r="A1" s="2" t="s">
        <v>61</v>
      </c>
    </row>
    <row r="3">
      <c r="A3" s="5" t="s">
        <v>70</v>
      </c>
      <c r="B3" s="5" t="s">
        <v>31</v>
      </c>
      <c r="C3" s="5" t="s">
        <v>18</v>
      </c>
      <c r="D3" s="5" t="s">
        <v>74</v>
      </c>
      <c r="E3" s="5" t="s">
        <v>78</v>
      </c>
      <c r="F3" s="5" t="s">
        <v>82</v>
      </c>
      <c r="G3" s="5" t="s">
        <v>84</v>
      </c>
      <c r="H3" s="5" t="s">
        <v>86</v>
      </c>
    </row>
    <row r="4">
      <c r="A4" s="7" t="s">
        <v>88</v>
      </c>
      <c r="B4" s="7" t="s">
        <v>89</v>
      </c>
      <c r="C4" s="7" t="s">
        <v>91</v>
      </c>
      <c r="D4" s="7" t="s">
        <v>92</v>
      </c>
      <c r="E4" s="7" t="s">
        <v>94</v>
      </c>
      <c r="F4" s="7" t="s">
        <v>96</v>
      </c>
      <c r="G4" s="7" t="s">
        <v>98</v>
      </c>
      <c r="H4" s="7" t="s">
        <v>99</v>
      </c>
    </row>
    <row r="5">
      <c r="A5" s="7" t="s">
        <v>100</v>
      </c>
      <c r="B5" s="7" t="s">
        <v>102</v>
      </c>
      <c r="C5" s="7" t="s">
        <v>91</v>
      </c>
      <c r="D5" s="7" t="s">
        <v>92</v>
      </c>
      <c r="E5" s="7" t="s">
        <v>105</v>
      </c>
      <c r="F5" s="7" t="s">
        <v>107</v>
      </c>
      <c r="G5" s="7" t="s">
        <v>109</v>
      </c>
      <c r="H5" s="7" t="s">
        <v>99</v>
      </c>
    </row>
    <row r="6">
      <c r="A6" s="7" t="s">
        <v>112</v>
      </c>
      <c r="B6" s="7" t="s">
        <v>114</v>
      </c>
      <c r="C6" s="7" t="s">
        <v>91</v>
      </c>
      <c r="D6" s="7" t="s">
        <v>64</v>
      </c>
      <c r="E6" s="7" t="s">
        <v>118</v>
      </c>
      <c r="F6" s="7" t="s">
        <v>96</v>
      </c>
      <c r="G6" s="7" t="s">
        <v>121</v>
      </c>
      <c r="H6" s="7" t="s">
        <v>99</v>
      </c>
    </row>
    <row r="7">
      <c r="A7" s="7" t="s">
        <v>125</v>
      </c>
      <c r="B7" s="7" t="s">
        <v>127</v>
      </c>
      <c r="C7" s="7" t="s">
        <v>91</v>
      </c>
      <c r="D7" s="7" t="s">
        <v>64</v>
      </c>
      <c r="E7" s="7" t="s">
        <v>132</v>
      </c>
      <c r="F7" s="7" t="s">
        <v>107</v>
      </c>
      <c r="G7" s="7" t="s">
        <v>135</v>
      </c>
      <c r="H7" s="7" t="s">
        <v>99</v>
      </c>
    </row>
    <row r="8">
      <c r="A8" s="7" t="s">
        <v>136</v>
      </c>
      <c r="B8" s="7" t="s">
        <v>138</v>
      </c>
      <c r="C8" s="7" t="s">
        <v>91</v>
      </c>
      <c r="D8" s="7" t="s">
        <v>96</v>
      </c>
      <c r="E8" s="7" t="s">
        <v>142</v>
      </c>
      <c r="F8" s="7" t="s">
        <v>107</v>
      </c>
      <c r="G8" s="7" t="s">
        <v>144</v>
      </c>
      <c r="H8" s="7" t="s">
        <v>146</v>
      </c>
    </row>
    <row r="9">
      <c r="A9" s="7" t="s">
        <v>151</v>
      </c>
      <c r="B9" s="7" t="s">
        <v>155</v>
      </c>
      <c r="C9" s="7" t="s">
        <v>91</v>
      </c>
      <c r="D9" s="7" t="s">
        <v>96</v>
      </c>
      <c r="E9" s="7" t="s">
        <v>158</v>
      </c>
      <c r="F9" s="7" t="s">
        <v>160</v>
      </c>
      <c r="G9" s="7" t="s">
        <v>162</v>
      </c>
      <c r="H9" s="7" t="s">
        <v>164</v>
      </c>
    </row>
    <row r="10">
      <c r="A10" s="7" t="s">
        <v>167</v>
      </c>
      <c r="B10" s="7" t="s">
        <v>169</v>
      </c>
      <c r="C10" s="7" t="s">
        <v>91</v>
      </c>
      <c r="D10" s="7" t="s">
        <v>96</v>
      </c>
      <c r="E10" s="7" t="s">
        <v>173</v>
      </c>
      <c r="F10" s="7" t="s">
        <v>175</v>
      </c>
      <c r="G10" s="7" t="s">
        <v>176</v>
      </c>
      <c r="H10" s="7" t="s">
        <v>178</v>
      </c>
    </row>
    <row r="11">
      <c r="A11" s="7" t="s">
        <v>180</v>
      </c>
      <c r="B11" s="7" t="s">
        <v>182</v>
      </c>
      <c r="C11" s="7" t="s">
        <v>91</v>
      </c>
      <c r="D11" s="7" t="s">
        <v>107</v>
      </c>
      <c r="E11" s="7" t="s">
        <v>184</v>
      </c>
      <c r="F11" s="7" t="s">
        <v>160</v>
      </c>
      <c r="G11" s="7" t="s">
        <v>186</v>
      </c>
      <c r="H11" s="7" t="s">
        <v>188</v>
      </c>
    </row>
    <row r="12">
      <c r="A12" s="7" t="s">
        <v>190</v>
      </c>
      <c r="B12" s="7" t="s">
        <v>202</v>
      </c>
      <c r="C12" s="7" t="s">
        <v>91</v>
      </c>
      <c r="D12" s="7" t="s">
        <v>107</v>
      </c>
      <c r="E12" s="7" t="s">
        <v>211</v>
      </c>
      <c r="F12" s="7" t="s">
        <v>175</v>
      </c>
      <c r="G12" s="7" t="s">
        <v>216</v>
      </c>
      <c r="H12" s="7" t="s">
        <v>218</v>
      </c>
    </row>
    <row r="13">
      <c r="A13" s="7" t="s">
        <v>222</v>
      </c>
      <c r="B13" s="7" t="s">
        <v>119</v>
      </c>
      <c r="C13" s="7" t="s">
        <v>91</v>
      </c>
      <c r="D13" s="7" t="s">
        <v>160</v>
      </c>
      <c r="E13" s="7" t="s">
        <v>227</v>
      </c>
      <c r="F13" s="7" t="s">
        <v>200</v>
      </c>
      <c r="G13" s="7" t="s">
        <v>229</v>
      </c>
      <c r="H13" s="7" t="s">
        <v>231</v>
      </c>
    </row>
    <row r="14">
      <c r="A14" s="7" t="s">
        <v>232</v>
      </c>
      <c r="B14" s="7" t="s">
        <v>234</v>
      </c>
      <c r="C14" s="7" t="s">
        <v>91</v>
      </c>
      <c r="D14" s="7" t="s">
        <v>237</v>
      </c>
      <c r="E14" s="7" t="s">
        <v>238</v>
      </c>
      <c r="F14" s="7" t="s">
        <v>239</v>
      </c>
      <c r="G14" s="7" t="s">
        <v>240</v>
      </c>
      <c r="H14" s="7" t="s">
        <v>242</v>
      </c>
    </row>
    <row r="15">
      <c r="A15" s="7" t="s">
        <v>244</v>
      </c>
      <c r="B15" s="7" t="s">
        <v>245</v>
      </c>
      <c r="C15" s="7" t="s">
        <v>91</v>
      </c>
      <c r="D15" s="7" t="s">
        <v>237</v>
      </c>
      <c r="E15" s="7" t="s">
        <v>246</v>
      </c>
      <c r="F15" s="7" t="s">
        <v>213</v>
      </c>
      <c r="G15" s="7" t="s">
        <v>247</v>
      </c>
      <c r="H15" s="7" t="s">
        <v>242</v>
      </c>
    </row>
    <row r="16">
      <c r="A16" s="7" t="s">
        <v>248</v>
      </c>
      <c r="B16" s="7" t="s">
        <v>249</v>
      </c>
      <c r="C16" s="7" t="s">
        <v>91</v>
      </c>
      <c r="D16" s="7" t="s">
        <v>239</v>
      </c>
      <c r="E16" s="7" t="s">
        <v>250</v>
      </c>
      <c r="F16" s="7" t="s">
        <v>213</v>
      </c>
      <c r="G16" s="7" t="s">
        <v>251</v>
      </c>
      <c r="H16" s="7" t="s">
        <v>252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20.0"/>
    <col customWidth="1" min="3" max="3" width="18.0"/>
    <col customWidth="1" min="4" max="4" width="16.0"/>
    <col customWidth="1" min="5" max="5" width="20.0"/>
    <col customWidth="1" min="6" max="6" width="16.0"/>
    <col customWidth="1" min="7" max="7" width="20.0"/>
    <col customWidth="1" min="8" max="8" width="34.0"/>
    <col customWidth="1" min="9" max="26" width="8.63"/>
  </cols>
  <sheetData>
    <row r="1" ht="27.75" customHeight="1">
      <c r="A1" s="2" t="s">
        <v>276</v>
      </c>
    </row>
    <row r="3">
      <c r="A3" s="5" t="s">
        <v>281</v>
      </c>
      <c r="B3" s="5" t="s">
        <v>31</v>
      </c>
      <c r="C3" s="5" t="s">
        <v>18</v>
      </c>
      <c r="D3" s="5" t="s">
        <v>74</v>
      </c>
      <c r="E3" s="5" t="s">
        <v>78</v>
      </c>
      <c r="F3" s="5" t="s">
        <v>82</v>
      </c>
      <c r="G3" s="5" t="s">
        <v>84</v>
      </c>
      <c r="H3" s="5" t="s">
        <v>86</v>
      </c>
    </row>
    <row r="4">
      <c r="A4" s="7" t="s">
        <v>282</v>
      </c>
      <c r="B4" s="7" t="s">
        <v>283</v>
      </c>
      <c r="C4" s="7" t="s">
        <v>91</v>
      </c>
      <c r="D4" s="7" t="s">
        <v>284</v>
      </c>
      <c r="E4" s="7" t="s">
        <v>285</v>
      </c>
      <c r="F4" s="7" t="s">
        <v>286</v>
      </c>
      <c r="G4" s="7" t="s">
        <v>287</v>
      </c>
      <c r="H4" s="7" t="s">
        <v>288</v>
      </c>
    </row>
    <row r="5">
      <c r="A5" s="7" t="s">
        <v>289</v>
      </c>
      <c r="B5" s="7" t="s">
        <v>290</v>
      </c>
      <c r="C5" s="7" t="s">
        <v>91</v>
      </c>
      <c r="D5" s="7" t="s">
        <v>284</v>
      </c>
      <c r="E5" s="7" t="s">
        <v>291</v>
      </c>
      <c r="F5" s="7" t="s">
        <v>292</v>
      </c>
      <c r="G5" s="7" t="s">
        <v>293</v>
      </c>
      <c r="H5" s="7" t="s">
        <v>288</v>
      </c>
    </row>
    <row r="6">
      <c r="A6" s="7" t="s">
        <v>294</v>
      </c>
      <c r="B6" s="7" t="s">
        <v>295</v>
      </c>
      <c r="C6" s="7" t="s">
        <v>91</v>
      </c>
      <c r="D6" s="7" t="s">
        <v>286</v>
      </c>
      <c r="E6" s="7" t="s">
        <v>296</v>
      </c>
      <c r="F6" s="7" t="s">
        <v>292</v>
      </c>
      <c r="G6" s="7" t="s">
        <v>297</v>
      </c>
      <c r="H6" s="7" t="s">
        <v>288</v>
      </c>
    </row>
    <row r="7">
      <c r="A7" s="7" t="s">
        <v>298</v>
      </c>
      <c r="B7" s="7" t="s">
        <v>299</v>
      </c>
      <c r="C7" s="7" t="s">
        <v>91</v>
      </c>
      <c r="D7" s="7" t="s">
        <v>284</v>
      </c>
      <c r="E7" s="7" t="s">
        <v>300</v>
      </c>
      <c r="F7" s="7" t="s">
        <v>301</v>
      </c>
      <c r="G7" s="7" t="s">
        <v>302</v>
      </c>
      <c r="H7" s="7" t="s">
        <v>168</v>
      </c>
    </row>
    <row r="8">
      <c r="A8" s="7" t="s">
        <v>303</v>
      </c>
      <c r="B8" s="7" t="s">
        <v>304</v>
      </c>
      <c r="C8" s="7" t="s">
        <v>91</v>
      </c>
      <c r="D8" s="7" t="s">
        <v>286</v>
      </c>
      <c r="E8" s="7" t="s">
        <v>305</v>
      </c>
      <c r="F8" s="8" t="s">
        <v>306</v>
      </c>
      <c r="G8" s="7" t="s">
        <v>307</v>
      </c>
      <c r="H8" s="8" t="s">
        <v>308</v>
      </c>
    </row>
    <row r="9">
      <c r="A9" s="7" t="s">
        <v>309</v>
      </c>
      <c r="B9" s="7" t="s">
        <v>310</v>
      </c>
      <c r="C9" s="7" t="s">
        <v>91</v>
      </c>
      <c r="D9" s="7" t="s">
        <v>286</v>
      </c>
      <c r="E9" s="7" t="s">
        <v>311</v>
      </c>
      <c r="F9" s="7" t="s">
        <v>175</v>
      </c>
      <c r="G9" s="7" t="s">
        <v>312</v>
      </c>
      <c r="H9" s="7" t="s">
        <v>313</v>
      </c>
    </row>
    <row r="10">
      <c r="A10" s="7" t="s">
        <v>314</v>
      </c>
      <c r="B10" s="7" t="s">
        <v>315</v>
      </c>
      <c r="C10" s="7" t="s">
        <v>91</v>
      </c>
      <c r="D10" s="7" t="s">
        <v>292</v>
      </c>
      <c r="E10" s="7" t="s">
        <v>316</v>
      </c>
      <c r="F10" s="7" t="s">
        <v>237</v>
      </c>
      <c r="G10" s="7" t="s">
        <v>317</v>
      </c>
      <c r="H10" s="7" t="s">
        <v>318</v>
      </c>
    </row>
    <row r="11">
      <c r="A11" s="7" t="s">
        <v>319</v>
      </c>
      <c r="B11" s="7" t="s">
        <v>320</v>
      </c>
      <c r="C11" s="7" t="s">
        <v>91</v>
      </c>
      <c r="D11" s="7" t="s">
        <v>321</v>
      </c>
      <c r="E11" s="7" t="s">
        <v>322</v>
      </c>
      <c r="F11" s="7" t="s">
        <v>321</v>
      </c>
      <c r="G11" s="7" t="s">
        <v>323</v>
      </c>
      <c r="H11" s="7" t="s">
        <v>324</v>
      </c>
    </row>
    <row r="12">
      <c r="A12" s="7" t="s">
        <v>325</v>
      </c>
      <c r="B12" s="7" t="s">
        <v>161</v>
      </c>
      <c r="C12" s="7" t="s">
        <v>277</v>
      </c>
      <c r="D12" s="7" t="s">
        <v>326</v>
      </c>
      <c r="E12" s="7" t="s">
        <v>163</v>
      </c>
      <c r="F12" s="7" t="s">
        <v>327</v>
      </c>
      <c r="G12" s="7" t="s">
        <v>328</v>
      </c>
      <c r="H12" s="7" t="s">
        <v>329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24.0"/>
    <col customWidth="1" min="3" max="3" width="16.0"/>
    <col customWidth="1" min="4" max="4" width="30.0"/>
    <col customWidth="1" min="5" max="5" width="10.0"/>
    <col customWidth="1" min="6" max="7" width="20.0"/>
    <col customWidth="1" min="8" max="8" width="28.0"/>
    <col customWidth="1" min="9" max="9" width="18.0"/>
    <col customWidth="1" min="10" max="10" width="38.0"/>
    <col customWidth="1" min="11" max="26" width="8.63"/>
  </cols>
  <sheetData>
    <row r="1" ht="27.75" customHeight="1">
      <c r="A1" s="2" t="s">
        <v>330</v>
      </c>
    </row>
    <row r="3">
      <c r="A3" s="5" t="s">
        <v>13</v>
      </c>
      <c r="B3" s="5" t="s">
        <v>331</v>
      </c>
      <c r="C3" s="5" t="s">
        <v>332</v>
      </c>
      <c r="D3" s="5" t="s">
        <v>333</v>
      </c>
      <c r="E3" s="5" t="s">
        <v>334</v>
      </c>
      <c r="F3" s="5" t="s">
        <v>335</v>
      </c>
      <c r="G3" s="5" t="s">
        <v>18</v>
      </c>
      <c r="H3" s="5" t="s">
        <v>336</v>
      </c>
      <c r="I3" s="5" t="s">
        <v>337</v>
      </c>
      <c r="J3" s="5" t="s">
        <v>39</v>
      </c>
    </row>
    <row r="4">
      <c r="A4" s="7" t="s">
        <v>43</v>
      </c>
      <c r="B4" s="7" t="s">
        <v>339</v>
      </c>
      <c r="C4" s="7" t="s">
        <v>341</v>
      </c>
      <c r="D4" s="7" t="s">
        <v>342</v>
      </c>
      <c r="E4" s="7">
        <v>710.0</v>
      </c>
      <c r="F4" s="7" t="s">
        <v>344</v>
      </c>
      <c r="G4" s="7" t="s">
        <v>179</v>
      </c>
      <c r="H4" s="7" t="s">
        <v>52</v>
      </c>
      <c r="I4" s="8" t="s">
        <v>350</v>
      </c>
      <c r="J4" s="7" t="s">
        <v>352</v>
      </c>
    </row>
    <row r="5">
      <c r="A5" s="7" t="s">
        <v>43</v>
      </c>
      <c r="B5" s="7" t="s">
        <v>354</v>
      </c>
      <c r="C5" s="7" t="s">
        <v>341</v>
      </c>
      <c r="D5" s="7" t="s">
        <v>356</v>
      </c>
      <c r="E5" s="7">
        <v>720.0</v>
      </c>
      <c r="F5" s="7" t="s">
        <v>359</v>
      </c>
      <c r="G5" s="7" t="s">
        <v>124</v>
      </c>
      <c r="H5" s="7" t="s">
        <v>71</v>
      </c>
      <c r="I5" s="8" t="s">
        <v>350</v>
      </c>
      <c r="J5" s="7" t="s">
        <v>352</v>
      </c>
    </row>
    <row r="6">
      <c r="A6" s="7" t="s">
        <v>43</v>
      </c>
      <c r="B6" s="7" t="s">
        <v>361</v>
      </c>
      <c r="C6" s="7" t="s">
        <v>341</v>
      </c>
      <c r="D6" s="7" t="s">
        <v>356</v>
      </c>
      <c r="E6" s="7">
        <v>720.0</v>
      </c>
      <c r="F6" s="7" t="s">
        <v>363</v>
      </c>
      <c r="G6" s="7" t="s">
        <v>124</v>
      </c>
      <c r="H6" s="7" t="s">
        <v>71</v>
      </c>
      <c r="I6" s="8" t="s">
        <v>350</v>
      </c>
      <c r="J6" s="7"/>
    </row>
    <row r="7">
      <c r="A7" s="7" t="s">
        <v>43</v>
      </c>
      <c r="B7" s="7" t="s">
        <v>364</v>
      </c>
      <c r="C7" s="7" t="s">
        <v>341</v>
      </c>
      <c r="D7" s="7" t="s">
        <v>366</v>
      </c>
      <c r="E7" s="7">
        <v>730.0</v>
      </c>
      <c r="F7" s="7" t="s">
        <v>368</v>
      </c>
      <c r="G7" s="7" t="s">
        <v>50</v>
      </c>
      <c r="H7" s="7" t="s">
        <v>55</v>
      </c>
      <c r="I7" s="8" t="s">
        <v>350</v>
      </c>
      <c r="J7" s="7"/>
    </row>
    <row r="8">
      <c r="A8" s="7" t="s">
        <v>43</v>
      </c>
      <c r="B8" s="7" t="s">
        <v>370</v>
      </c>
      <c r="C8" s="7" t="s">
        <v>341</v>
      </c>
      <c r="D8" s="7" t="s">
        <v>371</v>
      </c>
      <c r="E8" s="7">
        <v>740.0</v>
      </c>
      <c r="F8" s="7" t="s">
        <v>372</v>
      </c>
      <c r="G8" s="7" t="s">
        <v>124</v>
      </c>
      <c r="H8" s="7" t="s">
        <v>97</v>
      </c>
      <c r="I8" s="8" t="s">
        <v>350</v>
      </c>
      <c r="J8" s="7"/>
    </row>
    <row r="9">
      <c r="A9" s="7" t="s">
        <v>43</v>
      </c>
      <c r="B9" s="7" t="s">
        <v>375</v>
      </c>
      <c r="C9" s="7" t="s">
        <v>341</v>
      </c>
      <c r="D9" s="7" t="s">
        <v>366</v>
      </c>
      <c r="E9" s="7">
        <v>730.0</v>
      </c>
      <c r="F9" s="7" t="s">
        <v>378</v>
      </c>
      <c r="G9" s="7" t="s">
        <v>50</v>
      </c>
      <c r="H9" s="7" t="s">
        <v>55</v>
      </c>
      <c r="I9" s="8" t="s">
        <v>350</v>
      </c>
      <c r="J9" s="7"/>
    </row>
    <row r="10">
      <c r="A10" s="7" t="s">
        <v>43</v>
      </c>
      <c r="B10" s="7" t="s">
        <v>379</v>
      </c>
      <c r="C10" s="7" t="s">
        <v>381</v>
      </c>
      <c r="D10" s="7" t="s">
        <v>382</v>
      </c>
      <c r="E10" s="7">
        <v>790.0</v>
      </c>
      <c r="F10" s="7" t="s">
        <v>383</v>
      </c>
      <c r="G10" s="7" t="s">
        <v>256</v>
      </c>
      <c r="H10" s="7" t="s">
        <v>201</v>
      </c>
      <c r="I10" s="7" t="s">
        <v>122</v>
      </c>
      <c r="J10" s="7"/>
    </row>
    <row r="11">
      <c r="A11" s="7" t="s">
        <v>43</v>
      </c>
      <c r="B11" s="7" t="s">
        <v>391</v>
      </c>
      <c r="C11" s="7" t="s">
        <v>381</v>
      </c>
      <c r="D11" s="7" t="s">
        <v>382</v>
      </c>
      <c r="E11" s="7">
        <v>790.0</v>
      </c>
      <c r="F11" s="7" t="s">
        <v>392</v>
      </c>
      <c r="G11" s="7" t="s">
        <v>256</v>
      </c>
      <c r="H11" s="7" t="s">
        <v>201</v>
      </c>
      <c r="I11" s="7" t="s">
        <v>122</v>
      </c>
      <c r="J11" s="7"/>
    </row>
    <row r="12">
      <c r="A12" s="7" t="s">
        <v>43</v>
      </c>
      <c r="B12" s="7" t="s">
        <v>92</v>
      </c>
      <c r="C12" s="7" t="s">
        <v>393</v>
      </c>
      <c r="D12" s="7" t="s">
        <v>394</v>
      </c>
      <c r="E12" s="7">
        <v>710.0</v>
      </c>
      <c r="F12" s="7" t="s">
        <v>52</v>
      </c>
      <c r="G12" s="7" t="s">
        <v>179</v>
      </c>
      <c r="H12" s="7" t="s">
        <v>120</v>
      </c>
      <c r="I12" s="7" t="s">
        <v>122</v>
      </c>
      <c r="J12" s="7"/>
    </row>
    <row r="13">
      <c r="A13" s="7" t="s">
        <v>43</v>
      </c>
      <c r="B13" s="7" t="s">
        <v>92</v>
      </c>
      <c r="C13" s="7" t="s">
        <v>395</v>
      </c>
      <c r="D13" s="7" t="s">
        <v>396</v>
      </c>
      <c r="E13" s="7">
        <v>720.0</v>
      </c>
      <c r="F13" s="7" t="s">
        <v>71</v>
      </c>
      <c r="G13" s="7" t="s">
        <v>124</v>
      </c>
      <c r="H13" s="7" t="s">
        <v>120</v>
      </c>
      <c r="I13" s="7" t="s">
        <v>122</v>
      </c>
      <c r="J13" s="7"/>
    </row>
    <row r="14">
      <c r="A14" s="7" t="s">
        <v>43</v>
      </c>
      <c r="B14" s="7" t="s">
        <v>92</v>
      </c>
      <c r="C14" s="7" t="s">
        <v>381</v>
      </c>
      <c r="D14" s="7" t="s">
        <v>397</v>
      </c>
      <c r="E14" s="7">
        <v>790.0</v>
      </c>
      <c r="F14" s="7" t="s">
        <v>201</v>
      </c>
      <c r="G14" s="7" t="s">
        <v>256</v>
      </c>
      <c r="H14" s="7" t="s">
        <v>120</v>
      </c>
      <c r="I14" s="7" t="s">
        <v>122</v>
      </c>
      <c r="J14" s="7"/>
    </row>
    <row r="15">
      <c r="A15" s="7" t="s">
        <v>43</v>
      </c>
      <c r="B15" s="7" t="s">
        <v>92</v>
      </c>
      <c r="C15" s="8" t="s">
        <v>398</v>
      </c>
      <c r="D15" s="7" t="s">
        <v>399</v>
      </c>
      <c r="E15" s="7" t="s">
        <v>386</v>
      </c>
      <c r="F15" s="7" t="s">
        <v>94</v>
      </c>
      <c r="G15" s="7" t="s">
        <v>91</v>
      </c>
      <c r="H15" s="7" t="s">
        <v>120</v>
      </c>
      <c r="I15" s="7" t="s">
        <v>122</v>
      </c>
      <c r="J15" s="7" t="s">
        <v>400</v>
      </c>
    </row>
    <row r="16">
      <c r="A16" s="7" t="s">
        <v>43</v>
      </c>
      <c r="B16" s="7" t="s">
        <v>92</v>
      </c>
      <c r="C16" s="8" t="s">
        <v>401</v>
      </c>
      <c r="D16" s="7" t="s">
        <v>402</v>
      </c>
      <c r="E16" s="7" t="s">
        <v>386</v>
      </c>
      <c r="F16" s="7" t="s">
        <v>105</v>
      </c>
      <c r="G16" s="7" t="s">
        <v>91</v>
      </c>
      <c r="H16" s="7" t="s">
        <v>120</v>
      </c>
      <c r="I16" s="7" t="s">
        <v>122</v>
      </c>
      <c r="J16" s="7" t="s">
        <v>400</v>
      </c>
    </row>
    <row r="17">
      <c r="A17" s="7" t="s">
        <v>43</v>
      </c>
      <c r="B17" s="7" t="s">
        <v>403</v>
      </c>
      <c r="C17" s="7" t="s">
        <v>404</v>
      </c>
      <c r="D17" s="7" t="s">
        <v>382</v>
      </c>
      <c r="E17" s="7">
        <v>791.0</v>
      </c>
      <c r="F17" s="7" t="s">
        <v>405</v>
      </c>
      <c r="G17" s="7" t="s">
        <v>256</v>
      </c>
      <c r="H17" s="7" t="s">
        <v>208</v>
      </c>
      <c r="I17" s="7" t="s">
        <v>122</v>
      </c>
      <c r="J17" s="7"/>
    </row>
    <row r="18">
      <c r="A18" s="7" t="s">
        <v>43</v>
      </c>
      <c r="B18" s="7" t="s">
        <v>406</v>
      </c>
      <c r="C18" s="7" t="s">
        <v>404</v>
      </c>
      <c r="D18" s="7" t="s">
        <v>382</v>
      </c>
      <c r="E18" s="7">
        <v>791.0</v>
      </c>
      <c r="F18" s="7" t="s">
        <v>407</v>
      </c>
      <c r="G18" s="7" t="s">
        <v>256</v>
      </c>
      <c r="H18" s="7" t="s">
        <v>208</v>
      </c>
      <c r="I18" s="7" t="s">
        <v>122</v>
      </c>
      <c r="J18" s="7"/>
    </row>
    <row r="19">
      <c r="A19" s="7" t="s">
        <v>43</v>
      </c>
      <c r="B19" s="7" t="s">
        <v>64</v>
      </c>
      <c r="C19" s="7" t="s">
        <v>408</v>
      </c>
      <c r="D19" s="7" t="s">
        <v>409</v>
      </c>
      <c r="E19" s="7">
        <v>730.0</v>
      </c>
      <c r="F19" s="7" t="s">
        <v>55</v>
      </c>
      <c r="G19" s="7" t="s">
        <v>50</v>
      </c>
      <c r="H19" s="7" t="s">
        <v>120</v>
      </c>
      <c r="I19" s="7" t="s">
        <v>122</v>
      </c>
      <c r="J19" s="7"/>
    </row>
    <row r="20">
      <c r="A20" s="7" t="s">
        <v>43</v>
      </c>
      <c r="B20" s="7" t="s">
        <v>64</v>
      </c>
      <c r="C20" s="7" t="s">
        <v>410</v>
      </c>
      <c r="D20" s="7" t="s">
        <v>411</v>
      </c>
      <c r="E20" s="7">
        <v>740.0</v>
      </c>
      <c r="F20" s="7" t="s">
        <v>97</v>
      </c>
      <c r="G20" s="7" t="s">
        <v>124</v>
      </c>
      <c r="H20" s="7" t="s">
        <v>120</v>
      </c>
      <c r="I20" s="7" t="s">
        <v>122</v>
      </c>
      <c r="J20" s="7"/>
    </row>
    <row r="21" ht="15.75" customHeight="1">
      <c r="A21" s="7" t="s">
        <v>43</v>
      </c>
      <c r="B21" s="7" t="s">
        <v>64</v>
      </c>
      <c r="C21" s="7" t="s">
        <v>404</v>
      </c>
      <c r="D21" s="7" t="s">
        <v>412</v>
      </c>
      <c r="E21" s="7">
        <v>791.0</v>
      </c>
      <c r="F21" s="7" t="s">
        <v>208</v>
      </c>
      <c r="G21" s="7" t="s">
        <v>256</v>
      </c>
      <c r="H21" s="7" t="s">
        <v>120</v>
      </c>
      <c r="I21" s="7" t="s">
        <v>122</v>
      </c>
      <c r="J21" s="7"/>
    </row>
    <row r="22" ht="15.75" customHeight="1">
      <c r="A22" s="7" t="s">
        <v>43</v>
      </c>
      <c r="B22" s="7" t="s">
        <v>64</v>
      </c>
      <c r="C22" s="8" t="s">
        <v>413</v>
      </c>
      <c r="D22" s="7" t="s">
        <v>399</v>
      </c>
      <c r="E22" s="7" t="s">
        <v>386</v>
      </c>
      <c r="F22" s="7" t="s">
        <v>118</v>
      </c>
      <c r="G22" s="7" t="s">
        <v>91</v>
      </c>
      <c r="H22" s="7" t="s">
        <v>120</v>
      </c>
      <c r="I22" s="7" t="s">
        <v>122</v>
      </c>
      <c r="J22" s="7" t="s">
        <v>400</v>
      </c>
    </row>
    <row r="23" ht="15.75" customHeight="1">
      <c r="A23" s="7" t="s">
        <v>43</v>
      </c>
      <c r="B23" s="7" t="s">
        <v>64</v>
      </c>
      <c r="C23" s="8" t="s">
        <v>398</v>
      </c>
      <c r="D23" s="7" t="s">
        <v>402</v>
      </c>
      <c r="E23" s="7" t="s">
        <v>386</v>
      </c>
      <c r="F23" s="7" t="s">
        <v>132</v>
      </c>
      <c r="G23" s="7" t="s">
        <v>91</v>
      </c>
      <c r="H23" s="7" t="s">
        <v>120</v>
      </c>
      <c r="I23" s="7" t="s">
        <v>122</v>
      </c>
      <c r="J23" s="7" t="s">
        <v>400</v>
      </c>
    </row>
    <row r="24" ht="15.75" customHeight="1">
      <c r="A24" s="7" t="s">
        <v>414</v>
      </c>
      <c r="B24" s="7" t="s">
        <v>96</v>
      </c>
      <c r="C24" s="8" t="s">
        <v>398</v>
      </c>
      <c r="D24" s="7" t="s">
        <v>415</v>
      </c>
      <c r="E24" s="7" t="s">
        <v>386</v>
      </c>
      <c r="F24" s="7" t="s">
        <v>98</v>
      </c>
      <c r="G24" s="7" t="s">
        <v>91</v>
      </c>
      <c r="H24" s="7" t="s">
        <v>120</v>
      </c>
      <c r="I24" s="7" t="s">
        <v>122</v>
      </c>
      <c r="J24" s="7"/>
    </row>
    <row r="25" ht="15.75" customHeight="1">
      <c r="A25" s="7" t="s">
        <v>414</v>
      </c>
      <c r="B25" s="7" t="s">
        <v>96</v>
      </c>
      <c r="C25" s="8" t="s">
        <v>413</v>
      </c>
      <c r="D25" s="7" t="s">
        <v>416</v>
      </c>
      <c r="E25" s="7" t="s">
        <v>386</v>
      </c>
      <c r="F25" s="7" t="s">
        <v>121</v>
      </c>
      <c r="G25" s="7" t="s">
        <v>91</v>
      </c>
      <c r="H25" s="7" t="s">
        <v>120</v>
      </c>
      <c r="I25" s="7" t="s">
        <v>122</v>
      </c>
      <c r="J25" s="7"/>
    </row>
    <row r="26" ht="15.75" customHeight="1">
      <c r="A26" s="7" t="s">
        <v>414</v>
      </c>
      <c r="B26" s="7" t="s">
        <v>96</v>
      </c>
      <c r="C26" s="8" t="s">
        <v>417</v>
      </c>
      <c r="D26" s="7" t="s">
        <v>402</v>
      </c>
      <c r="E26" s="7" t="s">
        <v>386</v>
      </c>
      <c r="F26" s="7" t="s">
        <v>142</v>
      </c>
      <c r="G26" s="7" t="s">
        <v>91</v>
      </c>
      <c r="H26" s="7" t="s">
        <v>120</v>
      </c>
      <c r="I26" s="7" t="s">
        <v>122</v>
      </c>
      <c r="J26" s="7"/>
    </row>
    <row r="27" ht="15.75" customHeight="1">
      <c r="A27" s="7" t="s">
        <v>414</v>
      </c>
      <c r="B27" s="7" t="s">
        <v>96</v>
      </c>
      <c r="C27" s="8" t="s">
        <v>401</v>
      </c>
      <c r="D27" s="7" t="s">
        <v>418</v>
      </c>
      <c r="E27" s="7" t="s">
        <v>386</v>
      </c>
      <c r="F27" s="7" t="s">
        <v>158</v>
      </c>
      <c r="G27" s="7" t="s">
        <v>91</v>
      </c>
      <c r="H27" s="7" t="s">
        <v>120</v>
      </c>
      <c r="I27" s="7" t="s">
        <v>122</v>
      </c>
      <c r="J27" s="7"/>
    </row>
    <row r="28" ht="15.75" customHeight="1">
      <c r="A28" s="7" t="s">
        <v>414</v>
      </c>
      <c r="B28" s="7" t="s">
        <v>96</v>
      </c>
      <c r="C28" s="8" t="s">
        <v>419</v>
      </c>
      <c r="D28" s="7" t="s">
        <v>420</v>
      </c>
      <c r="E28" s="7" t="s">
        <v>386</v>
      </c>
      <c r="F28" s="7" t="s">
        <v>173</v>
      </c>
      <c r="G28" s="7" t="s">
        <v>91</v>
      </c>
      <c r="H28" s="7" t="s">
        <v>120</v>
      </c>
      <c r="I28" s="7" t="s">
        <v>122</v>
      </c>
      <c r="J28" s="7"/>
    </row>
    <row r="29" ht="15.75" customHeight="1">
      <c r="A29" s="7" t="s">
        <v>414</v>
      </c>
      <c r="B29" s="7" t="s">
        <v>107</v>
      </c>
      <c r="C29" s="8" t="s">
        <v>401</v>
      </c>
      <c r="D29" s="7" t="s">
        <v>415</v>
      </c>
      <c r="E29" s="7" t="s">
        <v>386</v>
      </c>
      <c r="F29" s="7" t="s">
        <v>109</v>
      </c>
      <c r="G29" s="7" t="s">
        <v>91</v>
      </c>
      <c r="H29" s="7" t="s">
        <v>120</v>
      </c>
      <c r="I29" s="7" t="s">
        <v>122</v>
      </c>
      <c r="J29" s="7"/>
    </row>
    <row r="30" ht="15.75" customHeight="1">
      <c r="A30" s="7" t="s">
        <v>414</v>
      </c>
      <c r="B30" s="7" t="s">
        <v>107</v>
      </c>
      <c r="C30" s="8" t="s">
        <v>398</v>
      </c>
      <c r="D30" s="7" t="s">
        <v>416</v>
      </c>
      <c r="E30" s="7" t="s">
        <v>386</v>
      </c>
      <c r="F30" s="7" t="s">
        <v>135</v>
      </c>
      <c r="G30" s="7" t="s">
        <v>91</v>
      </c>
      <c r="H30" s="7" t="s">
        <v>120</v>
      </c>
      <c r="I30" s="7" t="s">
        <v>122</v>
      </c>
      <c r="J30" s="7"/>
    </row>
    <row r="31" ht="15.75" customHeight="1">
      <c r="A31" s="7" t="s">
        <v>414</v>
      </c>
      <c r="B31" s="7" t="s">
        <v>107</v>
      </c>
      <c r="C31" s="8" t="s">
        <v>417</v>
      </c>
      <c r="D31" s="7" t="s">
        <v>399</v>
      </c>
      <c r="E31" s="7" t="s">
        <v>386</v>
      </c>
      <c r="F31" s="7" t="s">
        <v>144</v>
      </c>
      <c r="G31" s="7" t="s">
        <v>91</v>
      </c>
      <c r="H31" s="7" t="s">
        <v>120</v>
      </c>
      <c r="I31" s="7" t="s">
        <v>122</v>
      </c>
      <c r="J31" s="7"/>
    </row>
    <row r="32" ht="15.75" customHeight="1">
      <c r="A32" s="7" t="s">
        <v>414</v>
      </c>
      <c r="B32" s="7" t="s">
        <v>107</v>
      </c>
      <c r="C32" s="8" t="s">
        <v>413</v>
      </c>
      <c r="D32" s="7" t="s">
        <v>418</v>
      </c>
      <c r="E32" s="7" t="s">
        <v>386</v>
      </c>
      <c r="F32" s="7" t="s">
        <v>184</v>
      </c>
      <c r="G32" s="7" t="s">
        <v>91</v>
      </c>
      <c r="H32" s="7" t="s">
        <v>120</v>
      </c>
      <c r="I32" s="7" t="s">
        <v>122</v>
      </c>
      <c r="J32" s="7"/>
    </row>
    <row r="33" ht="15.75" customHeight="1">
      <c r="A33" s="7" t="s">
        <v>421</v>
      </c>
      <c r="B33" s="7" t="s">
        <v>160</v>
      </c>
      <c r="C33" s="8" t="s">
        <v>401</v>
      </c>
      <c r="D33" s="7" t="s">
        <v>399</v>
      </c>
      <c r="E33" s="7" t="s">
        <v>386</v>
      </c>
      <c r="F33" s="7" t="s">
        <v>162</v>
      </c>
      <c r="G33" s="7" t="s">
        <v>91</v>
      </c>
      <c r="H33" s="7" t="s">
        <v>120</v>
      </c>
      <c r="I33" s="7" t="s">
        <v>122</v>
      </c>
      <c r="J33" s="7"/>
    </row>
    <row r="34" ht="15.75" customHeight="1">
      <c r="A34" s="7" t="s">
        <v>421</v>
      </c>
      <c r="B34" s="7" t="s">
        <v>160</v>
      </c>
      <c r="C34" s="8" t="s">
        <v>413</v>
      </c>
      <c r="D34" s="7" t="s">
        <v>402</v>
      </c>
      <c r="E34" s="7" t="s">
        <v>386</v>
      </c>
      <c r="F34" s="7" t="s">
        <v>186</v>
      </c>
      <c r="G34" s="7" t="s">
        <v>91</v>
      </c>
      <c r="H34" s="7" t="s">
        <v>120</v>
      </c>
      <c r="I34" s="7" t="s">
        <v>122</v>
      </c>
      <c r="J34" s="7"/>
    </row>
    <row r="35" ht="15.75" customHeight="1">
      <c r="A35" s="7" t="s">
        <v>421</v>
      </c>
      <c r="B35" s="7" t="s">
        <v>160</v>
      </c>
      <c r="C35" s="8" t="s">
        <v>398</v>
      </c>
      <c r="D35" s="7" t="s">
        <v>422</v>
      </c>
      <c r="E35" s="7">
        <v>752.0</v>
      </c>
      <c r="F35" s="7" t="s">
        <v>227</v>
      </c>
      <c r="G35" s="7" t="s">
        <v>91</v>
      </c>
      <c r="H35" s="7" t="s">
        <v>120</v>
      </c>
      <c r="I35" s="7" t="s">
        <v>122</v>
      </c>
      <c r="J35" s="7"/>
    </row>
    <row r="36" ht="15.75" customHeight="1">
      <c r="A36" s="7" t="s">
        <v>421</v>
      </c>
      <c r="B36" s="7" t="s">
        <v>175</v>
      </c>
      <c r="C36" s="7" t="s">
        <v>423</v>
      </c>
      <c r="D36" s="7" t="s">
        <v>424</v>
      </c>
      <c r="E36" s="7" t="s">
        <v>386</v>
      </c>
      <c r="F36" s="7" t="s">
        <v>176</v>
      </c>
      <c r="G36" s="7" t="s">
        <v>91</v>
      </c>
      <c r="H36" s="7" t="s">
        <v>120</v>
      </c>
      <c r="I36" s="7" t="s">
        <v>122</v>
      </c>
      <c r="J36" s="7" t="s">
        <v>425</v>
      </c>
    </row>
    <row r="37" ht="15.75" customHeight="1">
      <c r="A37" s="7" t="s">
        <v>421</v>
      </c>
      <c r="B37" s="7" t="s">
        <v>175</v>
      </c>
      <c r="C37" s="8" t="s">
        <v>426</v>
      </c>
      <c r="D37" s="7" t="s">
        <v>427</v>
      </c>
      <c r="E37" s="7" t="s">
        <v>386</v>
      </c>
      <c r="F37" s="7" t="s">
        <v>312</v>
      </c>
      <c r="G37" s="7" t="s">
        <v>91</v>
      </c>
      <c r="H37" s="7" t="s">
        <v>120</v>
      </c>
      <c r="I37" s="7" t="s">
        <v>122</v>
      </c>
      <c r="J37" s="7" t="s">
        <v>428</v>
      </c>
    </row>
    <row r="38" ht="15.75" customHeight="1">
      <c r="A38" s="7" t="s">
        <v>429</v>
      </c>
      <c r="B38" s="7" t="s">
        <v>284</v>
      </c>
      <c r="C38" s="8" t="s">
        <v>423</v>
      </c>
      <c r="D38" s="8" t="s">
        <v>430</v>
      </c>
      <c r="E38" s="7" t="s">
        <v>386</v>
      </c>
      <c r="F38" s="7" t="s">
        <v>300</v>
      </c>
      <c r="G38" s="7" t="s">
        <v>91</v>
      </c>
      <c r="H38" s="7" t="s">
        <v>120</v>
      </c>
      <c r="I38" s="7" t="s">
        <v>122</v>
      </c>
      <c r="J38" s="7"/>
    </row>
    <row r="39" ht="15.75" customHeight="1">
      <c r="A39" s="7" t="s">
        <v>429</v>
      </c>
      <c r="B39" s="7" t="s">
        <v>284</v>
      </c>
      <c r="C39" s="8" t="s">
        <v>431</v>
      </c>
      <c r="D39" s="8" t="s">
        <v>432</v>
      </c>
      <c r="E39" s="7" t="s">
        <v>386</v>
      </c>
      <c r="F39" s="9" t="s">
        <v>285</v>
      </c>
      <c r="G39" s="7" t="s">
        <v>91</v>
      </c>
      <c r="H39" s="7" t="s">
        <v>120</v>
      </c>
      <c r="I39" s="7" t="s">
        <v>122</v>
      </c>
      <c r="J39" s="7"/>
    </row>
    <row r="40" ht="15.75" customHeight="1">
      <c r="A40" s="7" t="s">
        <v>429</v>
      </c>
      <c r="B40" s="7" t="s">
        <v>284</v>
      </c>
      <c r="C40" s="8" t="s">
        <v>426</v>
      </c>
      <c r="D40" s="8" t="s">
        <v>433</v>
      </c>
      <c r="E40" s="7" t="s">
        <v>386</v>
      </c>
      <c r="F40" s="7" t="s">
        <v>291</v>
      </c>
      <c r="G40" s="7" t="s">
        <v>91</v>
      </c>
      <c r="H40" s="7" t="s">
        <v>120</v>
      </c>
      <c r="I40" s="7" t="s">
        <v>122</v>
      </c>
      <c r="J40" s="7"/>
    </row>
    <row r="41" ht="15.75" customHeight="1">
      <c r="A41" s="7" t="s">
        <v>429</v>
      </c>
      <c r="B41" s="7" t="s">
        <v>286</v>
      </c>
      <c r="C41" s="7" t="s">
        <v>423</v>
      </c>
      <c r="D41" s="8" t="s">
        <v>434</v>
      </c>
      <c r="E41" s="7" t="s">
        <v>386</v>
      </c>
      <c r="F41" s="7" t="s">
        <v>305</v>
      </c>
      <c r="G41" s="7" t="s">
        <v>91</v>
      </c>
      <c r="H41" s="7" t="s">
        <v>120</v>
      </c>
      <c r="I41" s="7" t="s">
        <v>122</v>
      </c>
      <c r="J41" s="7"/>
    </row>
    <row r="42" ht="15.75" customHeight="1">
      <c r="A42" s="7" t="s">
        <v>429</v>
      </c>
      <c r="B42" s="7" t="s">
        <v>286</v>
      </c>
      <c r="C42" s="8" t="s">
        <v>431</v>
      </c>
      <c r="D42" s="8" t="s">
        <v>435</v>
      </c>
      <c r="E42" s="7" t="s">
        <v>386</v>
      </c>
      <c r="F42" s="9" t="s">
        <v>287</v>
      </c>
      <c r="G42" s="7" t="s">
        <v>91</v>
      </c>
      <c r="H42" s="7" t="s">
        <v>120</v>
      </c>
      <c r="I42" s="7" t="s">
        <v>122</v>
      </c>
      <c r="J42" s="7"/>
    </row>
    <row r="43" ht="15.75" customHeight="1">
      <c r="A43" s="7" t="s">
        <v>429</v>
      </c>
      <c r="B43" s="7" t="s">
        <v>286</v>
      </c>
      <c r="C43" s="8" t="s">
        <v>426</v>
      </c>
      <c r="D43" s="8" t="s">
        <v>420</v>
      </c>
      <c r="E43" s="7" t="s">
        <v>386</v>
      </c>
      <c r="F43" s="7" t="s">
        <v>311</v>
      </c>
      <c r="G43" s="7" t="s">
        <v>91</v>
      </c>
      <c r="H43" s="7" t="s">
        <v>120</v>
      </c>
      <c r="I43" s="7" t="s">
        <v>122</v>
      </c>
      <c r="J43" s="7"/>
    </row>
    <row r="44" ht="15.75" customHeight="1">
      <c r="A44" s="7" t="s">
        <v>429</v>
      </c>
      <c r="B44" s="7" t="s">
        <v>286</v>
      </c>
      <c r="C44" s="8" t="s">
        <v>436</v>
      </c>
      <c r="D44" s="8" t="s">
        <v>433</v>
      </c>
      <c r="E44" s="7" t="s">
        <v>386</v>
      </c>
      <c r="F44" s="7" t="s">
        <v>296</v>
      </c>
      <c r="G44" s="7" t="s">
        <v>91</v>
      </c>
      <c r="H44" s="7" t="s">
        <v>120</v>
      </c>
      <c r="I44" s="7" t="s">
        <v>122</v>
      </c>
      <c r="J44" s="7"/>
    </row>
    <row r="45" ht="15.75" customHeight="1">
      <c r="A45" s="7" t="s">
        <v>429</v>
      </c>
      <c r="B45" s="7" t="s">
        <v>292</v>
      </c>
      <c r="C45" s="8" t="s">
        <v>431</v>
      </c>
      <c r="D45" s="8" t="s">
        <v>437</v>
      </c>
      <c r="E45" s="7" t="s">
        <v>386</v>
      </c>
      <c r="F45" s="7" t="s">
        <v>316</v>
      </c>
      <c r="G45" s="7" t="s">
        <v>91</v>
      </c>
      <c r="H45" s="7" t="s">
        <v>120</v>
      </c>
      <c r="I45" s="7" t="s">
        <v>122</v>
      </c>
      <c r="J45" s="7"/>
    </row>
    <row r="46" ht="15.75" customHeight="1">
      <c r="A46" s="7" t="s">
        <v>429</v>
      </c>
      <c r="B46" s="7" t="s">
        <v>292</v>
      </c>
      <c r="C46" s="8" t="s">
        <v>436</v>
      </c>
      <c r="D46" s="7" t="s">
        <v>432</v>
      </c>
      <c r="E46" s="7" t="s">
        <v>386</v>
      </c>
      <c r="F46" s="7" t="s">
        <v>297</v>
      </c>
      <c r="G46" s="7" t="s">
        <v>91</v>
      </c>
      <c r="H46" s="7" t="s">
        <v>120</v>
      </c>
      <c r="I46" s="7" t="s">
        <v>122</v>
      </c>
      <c r="J46" s="7"/>
    </row>
    <row r="47" ht="15.75" customHeight="1">
      <c r="A47" s="7" t="s">
        <v>429</v>
      </c>
      <c r="B47" s="7" t="s">
        <v>292</v>
      </c>
      <c r="C47" s="8" t="s">
        <v>426</v>
      </c>
      <c r="D47" s="8" t="s">
        <v>435</v>
      </c>
      <c r="E47" s="7" t="s">
        <v>386</v>
      </c>
      <c r="F47" s="9" t="s">
        <v>293</v>
      </c>
      <c r="G47" s="7" t="s">
        <v>91</v>
      </c>
      <c r="H47" s="7" t="s">
        <v>120</v>
      </c>
      <c r="I47" s="7" t="s">
        <v>122</v>
      </c>
      <c r="J47" s="7"/>
    </row>
    <row r="48" ht="15.75" customHeight="1">
      <c r="A48" s="7" t="s">
        <v>168</v>
      </c>
      <c r="B48" s="7" t="s">
        <v>301</v>
      </c>
      <c r="C48" s="7" t="s">
        <v>423</v>
      </c>
      <c r="D48" s="7" t="s">
        <v>435</v>
      </c>
      <c r="E48" s="7" t="s">
        <v>386</v>
      </c>
      <c r="F48" s="7" t="s">
        <v>302</v>
      </c>
      <c r="G48" s="7" t="s">
        <v>91</v>
      </c>
      <c r="H48" s="7" t="s">
        <v>120</v>
      </c>
      <c r="I48" s="7" t="s">
        <v>122</v>
      </c>
      <c r="J48" s="7"/>
    </row>
    <row r="49" ht="15.75" customHeight="1">
      <c r="A49" s="7" t="s">
        <v>168</v>
      </c>
      <c r="B49" s="7" t="s">
        <v>301</v>
      </c>
      <c r="C49" s="7" t="s">
        <v>438</v>
      </c>
      <c r="D49" s="7" t="s">
        <v>439</v>
      </c>
      <c r="E49" s="7">
        <v>785.0</v>
      </c>
      <c r="F49" s="7" t="s">
        <v>174</v>
      </c>
      <c r="G49" s="7" t="s">
        <v>261</v>
      </c>
      <c r="H49" s="7" t="s">
        <v>120</v>
      </c>
      <c r="I49" s="7" t="s">
        <v>122</v>
      </c>
      <c r="J49" s="7" t="s">
        <v>440</v>
      </c>
    </row>
    <row r="50" ht="15.75" customHeight="1">
      <c r="A50" s="7" t="s">
        <v>168</v>
      </c>
      <c r="B50" s="7" t="s">
        <v>301</v>
      </c>
      <c r="C50" s="7" t="s">
        <v>441</v>
      </c>
      <c r="D50" s="7" t="s">
        <v>442</v>
      </c>
      <c r="E50" s="7">
        <v>788.0</v>
      </c>
      <c r="F50" s="7" t="s">
        <v>193</v>
      </c>
      <c r="G50" s="7" t="s">
        <v>261</v>
      </c>
      <c r="H50" s="7" t="s">
        <v>120</v>
      </c>
      <c r="I50" s="7" t="s">
        <v>122</v>
      </c>
      <c r="J50" s="7" t="s">
        <v>440</v>
      </c>
    </row>
    <row r="51" ht="15.75" customHeight="1">
      <c r="A51" s="7" t="s">
        <v>168</v>
      </c>
      <c r="B51" s="7" t="s">
        <v>443</v>
      </c>
      <c r="C51" s="7" t="s">
        <v>341</v>
      </c>
      <c r="D51" s="7" t="s">
        <v>444</v>
      </c>
      <c r="E51" s="7">
        <v>785.0</v>
      </c>
      <c r="F51" s="7" t="s">
        <v>445</v>
      </c>
      <c r="G51" s="7" t="s">
        <v>261</v>
      </c>
      <c r="H51" s="7" t="s">
        <v>174</v>
      </c>
      <c r="I51" s="7" t="s">
        <v>122</v>
      </c>
      <c r="J51" s="7"/>
    </row>
    <row r="52" ht="15.75" customHeight="1">
      <c r="A52" s="7" t="s">
        <v>168</v>
      </c>
      <c r="B52" s="7" t="s">
        <v>446</v>
      </c>
      <c r="C52" s="7" t="s">
        <v>341</v>
      </c>
      <c r="D52" s="7" t="s">
        <v>444</v>
      </c>
      <c r="E52" s="7">
        <v>788.0</v>
      </c>
      <c r="F52" s="7" t="s">
        <v>447</v>
      </c>
      <c r="G52" s="7" t="s">
        <v>261</v>
      </c>
      <c r="H52" s="7" t="s">
        <v>193</v>
      </c>
      <c r="I52" s="7" t="s">
        <v>122</v>
      </c>
      <c r="J52" s="7"/>
    </row>
    <row r="53" ht="15.75" customHeight="1">
      <c r="A53" s="7" t="s">
        <v>384</v>
      </c>
      <c r="B53" s="7" t="s">
        <v>384</v>
      </c>
      <c r="C53" s="7" t="s">
        <v>448</v>
      </c>
      <c r="D53" s="7" t="s">
        <v>432</v>
      </c>
      <c r="E53" s="7" t="s">
        <v>386</v>
      </c>
      <c r="F53" s="7" t="s">
        <v>307</v>
      </c>
      <c r="G53" s="7" t="s">
        <v>91</v>
      </c>
      <c r="H53" s="7" t="s">
        <v>449</v>
      </c>
      <c r="I53" s="7" t="s">
        <v>122</v>
      </c>
      <c r="J53" s="7" t="s">
        <v>450</v>
      </c>
    </row>
    <row r="54" ht="15.75" customHeight="1">
      <c r="A54" s="7" t="s">
        <v>384</v>
      </c>
      <c r="B54" s="7" t="s">
        <v>384</v>
      </c>
      <c r="C54" s="8" t="s">
        <v>451</v>
      </c>
      <c r="D54" s="8" t="s">
        <v>452</v>
      </c>
      <c r="E54" s="8" t="s">
        <v>386</v>
      </c>
      <c r="F54" s="7" t="s">
        <v>263</v>
      </c>
      <c r="G54" s="7" t="s">
        <v>256</v>
      </c>
      <c r="H54" s="7" t="s">
        <v>120</v>
      </c>
      <c r="I54" s="7" t="s">
        <v>122</v>
      </c>
      <c r="J54" s="7"/>
    </row>
    <row r="55" ht="15.75" customHeight="1">
      <c r="A55" s="7" t="s">
        <v>384</v>
      </c>
      <c r="B55" s="7" t="s">
        <v>384</v>
      </c>
      <c r="C55" s="8" t="s">
        <v>453</v>
      </c>
      <c r="D55" s="8" t="s">
        <v>454</v>
      </c>
      <c r="E55" s="8" t="s">
        <v>386</v>
      </c>
      <c r="F55" s="8" t="s">
        <v>455</v>
      </c>
      <c r="G55" s="8" t="s">
        <v>261</v>
      </c>
      <c r="H55" s="8" t="s">
        <v>263</v>
      </c>
      <c r="I55" s="8" t="s">
        <v>453</v>
      </c>
      <c r="J55" s="7"/>
    </row>
    <row r="56" ht="15.75" customHeight="1">
      <c r="A56" s="7" t="s">
        <v>384</v>
      </c>
      <c r="B56" s="8" t="s">
        <v>456</v>
      </c>
      <c r="C56" s="8" t="s">
        <v>457</v>
      </c>
      <c r="D56" s="7" t="s">
        <v>458</v>
      </c>
      <c r="E56" s="8" t="s">
        <v>386</v>
      </c>
      <c r="F56" s="8" t="s">
        <v>459</v>
      </c>
      <c r="G56" s="8" t="s">
        <v>261</v>
      </c>
      <c r="H56" s="7" t="s">
        <v>263</v>
      </c>
      <c r="I56" s="7" t="s">
        <v>453</v>
      </c>
      <c r="J56" s="7"/>
    </row>
    <row r="57" ht="15.75" customHeight="1">
      <c r="A57" s="7" t="s">
        <v>384</v>
      </c>
      <c r="B57" s="8" t="s">
        <v>460</v>
      </c>
      <c r="C57" s="8" t="s">
        <v>457</v>
      </c>
      <c r="D57" s="7" t="s">
        <v>458</v>
      </c>
      <c r="E57" s="8" t="s">
        <v>386</v>
      </c>
      <c r="F57" s="8" t="s">
        <v>461</v>
      </c>
      <c r="G57" s="8" t="s">
        <v>261</v>
      </c>
      <c r="H57" s="7" t="s">
        <v>263</v>
      </c>
      <c r="I57" s="7" t="s">
        <v>453</v>
      </c>
      <c r="J57" s="7"/>
    </row>
    <row r="58" ht="15.75" customHeight="1">
      <c r="A58" s="7" t="s">
        <v>384</v>
      </c>
      <c r="B58" s="8" t="s">
        <v>462</v>
      </c>
      <c r="C58" s="8" t="s">
        <v>463</v>
      </c>
      <c r="D58" s="7" t="s">
        <v>464</v>
      </c>
      <c r="E58" s="8" t="s">
        <v>386</v>
      </c>
      <c r="F58" s="8" t="s">
        <v>388</v>
      </c>
      <c r="G58" s="8" t="s">
        <v>261</v>
      </c>
      <c r="H58" s="8" t="s">
        <v>263</v>
      </c>
      <c r="I58" s="7" t="s">
        <v>453</v>
      </c>
      <c r="J58" s="7"/>
    </row>
    <row r="59" ht="15.75" customHeight="1">
      <c r="A59" s="7" t="s">
        <v>384</v>
      </c>
      <c r="B59" s="8" t="s">
        <v>465</v>
      </c>
      <c r="C59" s="8" t="s">
        <v>463</v>
      </c>
      <c r="D59" s="7" t="s">
        <v>464</v>
      </c>
      <c r="E59" s="8" t="s">
        <v>386</v>
      </c>
      <c r="F59" s="8" t="s">
        <v>466</v>
      </c>
      <c r="G59" s="8" t="s">
        <v>261</v>
      </c>
      <c r="H59" s="8" t="s">
        <v>263</v>
      </c>
      <c r="I59" s="7" t="s">
        <v>453</v>
      </c>
      <c r="J59" s="7"/>
    </row>
    <row r="60" ht="15.75" customHeight="1">
      <c r="A60" s="7" t="s">
        <v>101</v>
      </c>
      <c r="B60" s="7" t="s">
        <v>200</v>
      </c>
      <c r="C60" s="7" t="s">
        <v>423</v>
      </c>
      <c r="D60" s="7" t="s">
        <v>467</v>
      </c>
      <c r="E60" s="7">
        <v>752.0</v>
      </c>
      <c r="F60" s="7" t="s">
        <v>229</v>
      </c>
      <c r="G60" s="7" t="s">
        <v>91</v>
      </c>
      <c r="H60" s="7" t="s">
        <v>120</v>
      </c>
      <c r="I60" s="7" t="s">
        <v>122</v>
      </c>
      <c r="J60" s="7"/>
    </row>
    <row r="61" ht="15.75" customHeight="1">
      <c r="A61" s="7" t="s">
        <v>101</v>
      </c>
      <c r="B61" s="7" t="s">
        <v>200</v>
      </c>
      <c r="C61" s="7" t="s">
        <v>468</v>
      </c>
      <c r="D61" s="7" t="s">
        <v>469</v>
      </c>
      <c r="E61" s="7">
        <v>750.0</v>
      </c>
      <c r="F61" s="7" t="s">
        <v>108</v>
      </c>
      <c r="G61" s="7" t="s">
        <v>179</v>
      </c>
      <c r="H61" s="7" t="s">
        <v>120</v>
      </c>
      <c r="I61" s="7" t="s">
        <v>122</v>
      </c>
      <c r="J61" s="7"/>
    </row>
    <row r="62" ht="15.75" customHeight="1">
      <c r="A62" s="7" t="s">
        <v>101</v>
      </c>
      <c r="B62" s="7" t="s">
        <v>200</v>
      </c>
      <c r="C62" s="7" t="s">
        <v>470</v>
      </c>
      <c r="D62" s="7" t="s">
        <v>471</v>
      </c>
      <c r="E62" s="7">
        <v>760.0</v>
      </c>
      <c r="F62" s="7" t="s">
        <v>134</v>
      </c>
      <c r="G62" s="7" t="s">
        <v>179</v>
      </c>
      <c r="H62" s="7" t="s">
        <v>120</v>
      </c>
      <c r="I62" s="7" t="s">
        <v>122</v>
      </c>
      <c r="J62" s="7"/>
    </row>
    <row r="63" ht="15.75" customHeight="1">
      <c r="A63" s="7" t="s">
        <v>101</v>
      </c>
      <c r="B63" s="7" t="s">
        <v>200</v>
      </c>
      <c r="C63" s="7" t="s">
        <v>472</v>
      </c>
      <c r="D63" s="7" t="s">
        <v>473</v>
      </c>
      <c r="E63" s="7">
        <v>770.0</v>
      </c>
      <c r="F63" s="7" t="s">
        <v>143</v>
      </c>
      <c r="G63" s="7" t="s">
        <v>256</v>
      </c>
      <c r="H63" s="7" t="s">
        <v>120</v>
      </c>
      <c r="I63" s="7" t="s">
        <v>122</v>
      </c>
      <c r="J63" s="7"/>
    </row>
    <row r="64" ht="15.75" customHeight="1">
      <c r="A64" s="7" t="s">
        <v>101</v>
      </c>
      <c r="B64" s="7" t="s">
        <v>200</v>
      </c>
      <c r="C64" s="7" t="s">
        <v>474</v>
      </c>
      <c r="D64" s="7" t="s">
        <v>475</v>
      </c>
      <c r="E64" s="7">
        <v>792.0</v>
      </c>
      <c r="F64" s="7" t="s">
        <v>219</v>
      </c>
      <c r="G64" s="7" t="s">
        <v>277</v>
      </c>
      <c r="H64" s="7" t="s">
        <v>120</v>
      </c>
      <c r="I64" s="7" t="s">
        <v>122</v>
      </c>
      <c r="J64" s="7"/>
    </row>
    <row r="65" ht="15.75" customHeight="1">
      <c r="A65" s="7" t="s">
        <v>101</v>
      </c>
      <c r="B65" s="7" t="s">
        <v>476</v>
      </c>
      <c r="C65" s="7" t="s">
        <v>477</v>
      </c>
      <c r="D65" s="7" t="s">
        <v>478</v>
      </c>
      <c r="E65" s="7">
        <v>792.0</v>
      </c>
      <c r="F65" s="7" t="s">
        <v>479</v>
      </c>
      <c r="G65" s="7" t="s">
        <v>277</v>
      </c>
      <c r="H65" s="7" t="s">
        <v>219</v>
      </c>
      <c r="I65" s="7" t="s">
        <v>122</v>
      </c>
      <c r="J65" s="7"/>
    </row>
    <row r="66" ht="15.75" customHeight="1">
      <c r="A66" s="7" t="s">
        <v>101</v>
      </c>
      <c r="B66" s="7" t="s">
        <v>480</v>
      </c>
      <c r="C66" s="7" t="s">
        <v>477</v>
      </c>
      <c r="D66" s="7" t="s">
        <v>382</v>
      </c>
      <c r="E66" s="7">
        <v>792.0</v>
      </c>
      <c r="F66" s="7" t="s">
        <v>481</v>
      </c>
      <c r="G66" s="7" t="s">
        <v>277</v>
      </c>
      <c r="H66" s="7" t="s">
        <v>219</v>
      </c>
      <c r="I66" s="7" t="s">
        <v>122</v>
      </c>
      <c r="J66" s="7"/>
    </row>
    <row r="67" ht="15.75" customHeight="1">
      <c r="A67" s="7" t="s">
        <v>101</v>
      </c>
      <c r="B67" s="7" t="s">
        <v>482</v>
      </c>
      <c r="C67" s="7" t="s">
        <v>477</v>
      </c>
      <c r="D67" s="7" t="s">
        <v>382</v>
      </c>
      <c r="E67" s="7">
        <v>792.0</v>
      </c>
      <c r="F67" s="7" t="s">
        <v>483</v>
      </c>
      <c r="G67" s="7" t="s">
        <v>277</v>
      </c>
      <c r="H67" s="7" t="s">
        <v>219</v>
      </c>
      <c r="I67" s="7" t="s">
        <v>122</v>
      </c>
      <c r="J67" s="7"/>
    </row>
    <row r="68" ht="15.75" customHeight="1">
      <c r="A68" s="7" t="s">
        <v>101</v>
      </c>
      <c r="B68" s="7" t="s">
        <v>484</v>
      </c>
      <c r="C68" s="7" t="s">
        <v>477</v>
      </c>
      <c r="D68" s="7" t="s">
        <v>485</v>
      </c>
      <c r="E68" s="7">
        <v>792.0</v>
      </c>
      <c r="F68" s="7" t="s">
        <v>486</v>
      </c>
      <c r="G68" s="7" t="s">
        <v>277</v>
      </c>
      <c r="H68" s="7" t="s">
        <v>219</v>
      </c>
      <c r="I68" s="7" t="s">
        <v>122</v>
      </c>
      <c r="J68" s="7"/>
    </row>
    <row r="69" ht="15.75" customHeight="1">
      <c r="A69" s="7" t="s">
        <v>101</v>
      </c>
      <c r="B69" s="7" t="s">
        <v>487</v>
      </c>
      <c r="C69" s="7" t="s">
        <v>341</v>
      </c>
      <c r="D69" s="7" t="s">
        <v>488</v>
      </c>
      <c r="E69" s="7">
        <v>750.0</v>
      </c>
      <c r="F69" s="7" t="s">
        <v>489</v>
      </c>
      <c r="G69" s="7" t="s">
        <v>179</v>
      </c>
      <c r="H69" s="7" t="s">
        <v>108</v>
      </c>
      <c r="I69" s="8" t="s">
        <v>350</v>
      </c>
      <c r="J69" s="7"/>
    </row>
    <row r="70" ht="15.75" customHeight="1">
      <c r="A70" s="7" t="s">
        <v>101</v>
      </c>
      <c r="B70" s="7" t="s">
        <v>490</v>
      </c>
      <c r="C70" s="7" t="s">
        <v>341</v>
      </c>
      <c r="D70" s="7" t="s">
        <v>491</v>
      </c>
      <c r="E70" s="7">
        <v>760.0</v>
      </c>
      <c r="F70" s="7" t="s">
        <v>492</v>
      </c>
      <c r="G70" s="7" t="s">
        <v>179</v>
      </c>
      <c r="H70" s="7" t="s">
        <v>134</v>
      </c>
      <c r="I70" s="8" t="s">
        <v>350</v>
      </c>
      <c r="J70" s="7"/>
    </row>
    <row r="71" ht="15.75" customHeight="1">
      <c r="A71" s="7" t="s">
        <v>101</v>
      </c>
      <c r="B71" s="7" t="s">
        <v>493</v>
      </c>
      <c r="C71" s="7" t="s">
        <v>341</v>
      </c>
      <c r="D71" s="7" t="s">
        <v>491</v>
      </c>
      <c r="E71" s="7">
        <v>760.0</v>
      </c>
      <c r="F71" s="7" t="s">
        <v>494</v>
      </c>
      <c r="G71" s="7" t="s">
        <v>179</v>
      </c>
      <c r="H71" s="7" t="s">
        <v>134</v>
      </c>
      <c r="I71" s="8" t="s">
        <v>350</v>
      </c>
      <c r="J71" s="7"/>
    </row>
    <row r="72" ht="15.75" customHeight="1">
      <c r="A72" s="7" t="s">
        <v>101</v>
      </c>
      <c r="B72" s="7" t="s">
        <v>495</v>
      </c>
      <c r="C72" s="7" t="s">
        <v>341</v>
      </c>
      <c r="D72" s="7" t="s">
        <v>488</v>
      </c>
      <c r="E72" s="7">
        <v>750.0</v>
      </c>
      <c r="F72" s="7" t="s">
        <v>496</v>
      </c>
      <c r="G72" s="7" t="s">
        <v>179</v>
      </c>
      <c r="H72" s="7" t="s">
        <v>108</v>
      </c>
      <c r="I72" s="8" t="s">
        <v>350</v>
      </c>
      <c r="J72" s="7"/>
    </row>
    <row r="73" ht="15.75" customHeight="1">
      <c r="A73" s="7" t="s">
        <v>101</v>
      </c>
      <c r="B73" s="7" t="s">
        <v>374</v>
      </c>
      <c r="C73" s="7" t="s">
        <v>341</v>
      </c>
      <c r="D73" s="7" t="s">
        <v>497</v>
      </c>
      <c r="E73" s="7">
        <v>770.0</v>
      </c>
      <c r="F73" s="7" t="s">
        <v>498</v>
      </c>
      <c r="G73" s="7" t="s">
        <v>256</v>
      </c>
      <c r="H73" s="7" t="s">
        <v>143</v>
      </c>
      <c r="I73" s="7" t="s">
        <v>122</v>
      </c>
      <c r="J73" s="7"/>
    </row>
    <row r="74" ht="15.75" customHeight="1">
      <c r="A74" s="7" t="s">
        <v>101</v>
      </c>
      <c r="B74" s="7" t="s">
        <v>499</v>
      </c>
      <c r="C74" s="7" t="s">
        <v>341</v>
      </c>
      <c r="D74" s="7" t="s">
        <v>500</v>
      </c>
      <c r="E74" s="7">
        <v>770.0</v>
      </c>
      <c r="F74" s="7" t="s">
        <v>501</v>
      </c>
      <c r="G74" s="7" t="s">
        <v>256</v>
      </c>
      <c r="H74" s="7" t="s">
        <v>143</v>
      </c>
      <c r="I74" s="7" t="s">
        <v>122</v>
      </c>
      <c r="J74" s="7"/>
    </row>
    <row r="75" ht="15.75" customHeight="1">
      <c r="A75" s="7" t="s">
        <v>147</v>
      </c>
      <c r="B75" s="7" t="s">
        <v>237</v>
      </c>
      <c r="C75" s="8" t="s">
        <v>431</v>
      </c>
      <c r="D75" s="7" t="s">
        <v>502</v>
      </c>
      <c r="E75" s="7" t="s">
        <v>386</v>
      </c>
      <c r="F75" s="7" t="s">
        <v>317</v>
      </c>
      <c r="G75" s="7" t="s">
        <v>91</v>
      </c>
      <c r="H75" s="7" t="s">
        <v>120</v>
      </c>
      <c r="I75" s="7" t="s">
        <v>122</v>
      </c>
      <c r="J75" s="7" t="s">
        <v>503</v>
      </c>
    </row>
    <row r="76" ht="15.75" customHeight="1">
      <c r="A76" s="7" t="s">
        <v>147</v>
      </c>
      <c r="B76" s="7" t="s">
        <v>237</v>
      </c>
      <c r="C76" s="8" t="s">
        <v>423</v>
      </c>
      <c r="D76" s="7" t="s">
        <v>504</v>
      </c>
      <c r="E76" s="7" t="s">
        <v>386</v>
      </c>
      <c r="F76" s="7" t="s">
        <v>238</v>
      </c>
      <c r="G76" s="7" t="s">
        <v>91</v>
      </c>
      <c r="H76" s="7" t="s">
        <v>120</v>
      </c>
      <c r="I76" s="7" t="s">
        <v>122</v>
      </c>
      <c r="J76" s="7"/>
    </row>
    <row r="77" ht="15.75" customHeight="1">
      <c r="A77" s="7" t="s">
        <v>147</v>
      </c>
      <c r="B77" s="7" t="s">
        <v>237</v>
      </c>
      <c r="C77" s="8" t="s">
        <v>505</v>
      </c>
      <c r="D77" s="7" t="s">
        <v>506</v>
      </c>
      <c r="E77" s="7" t="s">
        <v>386</v>
      </c>
      <c r="F77" s="7" t="s">
        <v>246</v>
      </c>
      <c r="G77" s="7" t="s">
        <v>91</v>
      </c>
      <c r="H77" s="7" t="s">
        <v>120</v>
      </c>
      <c r="I77" s="7" t="s">
        <v>122</v>
      </c>
      <c r="J77" s="7"/>
    </row>
    <row r="78" ht="15.75" customHeight="1">
      <c r="A78" s="7" t="s">
        <v>147</v>
      </c>
      <c r="B78" s="7" t="s">
        <v>239</v>
      </c>
      <c r="C78" s="8" t="s">
        <v>401</v>
      </c>
      <c r="D78" s="7" t="s">
        <v>437</v>
      </c>
      <c r="E78" s="7" t="s">
        <v>386</v>
      </c>
      <c r="F78" s="7" t="s">
        <v>240</v>
      </c>
      <c r="G78" s="7" t="s">
        <v>91</v>
      </c>
      <c r="H78" s="7" t="s">
        <v>120</v>
      </c>
      <c r="I78" s="7" t="s">
        <v>122</v>
      </c>
      <c r="J78" s="7"/>
    </row>
    <row r="79" ht="15.75" customHeight="1">
      <c r="A79" s="7" t="s">
        <v>147</v>
      </c>
      <c r="B79" s="7" t="s">
        <v>239</v>
      </c>
      <c r="C79" s="8" t="s">
        <v>417</v>
      </c>
      <c r="D79" s="7" t="s">
        <v>506</v>
      </c>
      <c r="E79" s="7" t="s">
        <v>386</v>
      </c>
      <c r="F79" s="7" t="s">
        <v>250</v>
      </c>
      <c r="G79" s="7" t="s">
        <v>91</v>
      </c>
      <c r="H79" s="7" t="s">
        <v>120</v>
      </c>
      <c r="I79" s="7" t="s">
        <v>122</v>
      </c>
      <c r="J79" s="7"/>
    </row>
    <row r="80" ht="15.75" customHeight="1">
      <c r="A80" s="7" t="s">
        <v>147</v>
      </c>
      <c r="B80" s="7" t="s">
        <v>239</v>
      </c>
      <c r="C80" s="7" t="s">
        <v>507</v>
      </c>
      <c r="D80" s="7" t="s">
        <v>508</v>
      </c>
      <c r="E80" s="7">
        <v>781.0</v>
      </c>
      <c r="F80" s="7" t="s">
        <v>163</v>
      </c>
      <c r="G80" s="7" t="s">
        <v>277</v>
      </c>
      <c r="H80" s="7" t="s">
        <v>120</v>
      </c>
      <c r="I80" s="7" t="s">
        <v>122</v>
      </c>
      <c r="J80" s="7"/>
    </row>
    <row r="81" ht="15.75" customHeight="1">
      <c r="A81" s="7" t="s">
        <v>147</v>
      </c>
      <c r="B81" s="7" t="s">
        <v>509</v>
      </c>
      <c r="C81" s="7" t="s">
        <v>341</v>
      </c>
      <c r="D81" s="7" t="s">
        <v>510</v>
      </c>
      <c r="E81" s="7">
        <v>781.0</v>
      </c>
      <c r="F81" s="7" t="s">
        <v>355</v>
      </c>
      <c r="G81" s="7" t="s">
        <v>277</v>
      </c>
      <c r="H81" s="7" t="s">
        <v>163</v>
      </c>
      <c r="I81" s="7" t="s">
        <v>122</v>
      </c>
      <c r="J81" s="7"/>
    </row>
    <row r="82" ht="15.75" customHeight="1">
      <c r="A82" s="7" t="s">
        <v>147</v>
      </c>
      <c r="B82" s="7" t="s">
        <v>511</v>
      </c>
      <c r="C82" s="7" t="s">
        <v>341</v>
      </c>
      <c r="D82" s="7" t="s">
        <v>512</v>
      </c>
      <c r="E82" s="7">
        <v>781.0</v>
      </c>
      <c r="F82" s="7" t="s">
        <v>513</v>
      </c>
      <c r="G82" s="7" t="s">
        <v>277</v>
      </c>
      <c r="H82" s="7" t="s">
        <v>163</v>
      </c>
      <c r="I82" s="7" t="s">
        <v>122</v>
      </c>
      <c r="J82" s="7"/>
    </row>
    <row r="83" ht="15.75" customHeight="1">
      <c r="A83" s="7" t="s">
        <v>147</v>
      </c>
      <c r="B83" s="7" t="s">
        <v>213</v>
      </c>
      <c r="C83" s="8" t="s">
        <v>401</v>
      </c>
      <c r="D83" s="7" t="s">
        <v>437</v>
      </c>
      <c r="E83" s="7" t="s">
        <v>386</v>
      </c>
      <c r="F83" s="7" t="s">
        <v>247</v>
      </c>
      <c r="G83" s="7" t="s">
        <v>91</v>
      </c>
      <c r="H83" s="7" t="s">
        <v>120</v>
      </c>
      <c r="I83" s="7" t="s">
        <v>122</v>
      </c>
      <c r="J83" s="7"/>
    </row>
    <row r="84" ht="15.75" customHeight="1">
      <c r="A84" s="7" t="s">
        <v>147</v>
      </c>
      <c r="B84" s="7" t="s">
        <v>213</v>
      </c>
      <c r="C84" s="8" t="s">
        <v>417</v>
      </c>
      <c r="D84" s="7" t="s">
        <v>504</v>
      </c>
      <c r="E84" s="7" t="s">
        <v>386</v>
      </c>
      <c r="F84" s="7" t="s">
        <v>251</v>
      </c>
      <c r="G84" s="7" t="s">
        <v>91</v>
      </c>
      <c r="H84" s="7" t="s">
        <v>120</v>
      </c>
      <c r="I84" s="7" t="s">
        <v>122</v>
      </c>
      <c r="J84" s="7"/>
    </row>
    <row r="85" ht="15.75" customHeight="1">
      <c r="A85" s="7" t="s">
        <v>147</v>
      </c>
      <c r="B85" s="7" t="s">
        <v>213</v>
      </c>
      <c r="C85" s="7" t="s">
        <v>514</v>
      </c>
      <c r="D85" s="7" t="s">
        <v>515</v>
      </c>
      <c r="E85" s="7">
        <v>780.0</v>
      </c>
      <c r="F85" s="7" t="s">
        <v>154</v>
      </c>
      <c r="G85" s="7" t="s">
        <v>179</v>
      </c>
      <c r="H85" s="7" t="s">
        <v>120</v>
      </c>
      <c r="I85" s="7" t="s">
        <v>122</v>
      </c>
      <c r="J85" s="7"/>
    </row>
    <row r="86" ht="15.75" customHeight="1">
      <c r="A86" s="7" t="s">
        <v>147</v>
      </c>
      <c r="B86" s="7" t="s">
        <v>516</v>
      </c>
      <c r="C86" s="7" t="s">
        <v>341</v>
      </c>
      <c r="D86" s="7" t="s">
        <v>517</v>
      </c>
      <c r="E86" s="7">
        <v>780.0</v>
      </c>
      <c r="F86" s="7" t="s">
        <v>518</v>
      </c>
      <c r="G86" s="7" t="s">
        <v>179</v>
      </c>
      <c r="H86" s="7" t="s">
        <v>154</v>
      </c>
      <c r="I86" s="7" t="s">
        <v>122</v>
      </c>
      <c r="J86" s="7"/>
    </row>
    <row r="87" ht="15.75" customHeight="1">
      <c r="A87" s="7" t="s">
        <v>147</v>
      </c>
      <c r="B87" s="7" t="s">
        <v>519</v>
      </c>
      <c r="C87" s="7" t="s">
        <v>341</v>
      </c>
      <c r="D87" s="7" t="s">
        <v>520</v>
      </c>
      <c r="E87" s="7">
        <v>780.0</v>
      </c>
      <c r="F87" s="7" t="s">
        <v>521</v>
      </c>
      <c r="G87" s="7" t="s">
        <v>179</v>
      </c>
      <c r="H87" s="7" t="s">
        <v>154</v>
      </c>
      <c r="I87" s="7" t="s">
        <v>122</v>
      </c>
      <c r="J87" s="7"/>
    </row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24.0"/>
    <col customWidth="1" min="3" max="3" width="10.0"/>
    <col customWidth="1" min="4" max="4" width="20.0"/>
    <col customWidth="1" min="5" max="9" width="18.0"/>
    <col customWidth="1" min="10" max="10" width="38.0"/>
    <col customWidth="1" min="11" max="26" width="8.63"/>
  </cols>
  <sheetData>
    <row r="1" ht="27.75" customHeight="1">
      <c r="A1" s="2" t="s">
        <v>338</v>
      </c>
    </row>
    <row r="3">
      <c r="A3" s="5" t="s">
        <v>340</v>
      </c>
      <c r="B3" s="5" t="s">
        <v>343</v>
      </c>
      <c r="C3" s="5" t="s">
        <v>334</v>
      </c>
      <c r="D3" s="5" t="s">
        <v>31</v>
      </c>
      <c r="E3" s="5" t="s">
        <v>345</v>
      </c>
      <c r="F3" s="5" t="s">
        <v>346</v>
      </c>
      <c r="G3" s="5" t="s">
        <v>347</v>
      </c>
      <c r="H3" s="5" t="s">
        <v>348</v>
      </c>
      <c r="I3" s="5" t="s">
        <v>349</v>
      </c>
      <c r="J3" s="5" t="s">
        <v>351</v>
      </c>
    </row>
    <row r="4">
      <c r="A4" s="7" t="s">
        <v>92</v>
      </c>
      <c r="B4" s="7" t="s">
        <v>45</v>
      </c>
      <c r="C4" s="7">
        <v>710.0</v>
      </c>
      <c r="D4" s="7" t="s">
        <v>49</v>
      </c>
      <c r="E4" s="7" t="s">
        <v>52</v>
      </c>
      <c r="F4" s="7" t="s">
        <v>353</v>
      </c>
      <c r="G4" s="7" t="s">
        <v>183</v>
      </c>
      <c r="H4" s="7" t="s">
        <v>355</v>
      </c>
      <c r="I4" s="8" t="s">
        <v>357</v>
      </c>
      <c r="J4" s="7" t="s">
        <v>358</v>
      </c>
    </row>
    <row r="5">
      <c r="A5" s="7" t="s">
        <v>92</v>
      </c>
      <c r="B5" s="7" t="s">
        <v>65</v>
      </c>
      <c r="C5" s="7">
        <v>720.0</v>
      </c>
      <c r="D5" s="7" t="s">
        <v>68</v>
      </c>
      <c r="E5" s="7" t="s">
        <v>71</v>
      </c>
      <c r="F5" s="7" t="s">
        <v>360</v>
      </c>
      <c r="G5" s="7" t="s">
        <v>148</v>
      </c>
      <c r="H5" s="7" t="s">
        <v>355</v>
      </c>
      <c r="I5" s="8" t="s">
        <v>357</v>
      </c>
      <c r="J5" s="7" t="s">
        <v>362</v>
      </c>
    </row>
    <row r="6">
      <c r="A6" s="7" t="s">
        <v>64</v>
      </c>
      <c r="B6" s="7" t="s">
        <v>76</v>
      </c>
      <c r="C6" s="7">
        <v>730.0</v>
      </c>
      <c r="D6" s="7" t="s">
        <v>81</v>
      </c>
      <c r="E6" s="7" t="s">
        <v>55</v>
      </c>
      <c r="F6" s="7" t="s">
        <v>365</v>
      </c>
      <c r="G6" s="7" t="s">
        <v>58</v>
      </c>
      <c r="H6" s="7" t="s">
        <v>355</v>
      </c>
      <c r="I6" s="8" t="s">
        <v>357</v>
      </c>
      <c r="J6" s="7" t="s">
        <v>367</v>
      </c>
    </row>
    <row r="7">
      <c r="A7" s="7" t="s">
        <v>64</v>
      </c>
      <c r="B7" s="7" t="s">
        <v>90</v>
      </c>
      <c r="C7" s="7">
        <v>740.0</v>
      </c>
      <c r="D7" s="7" t="s">
        <v>95</v>
      </c>
      <c r="E7" s="7" t="s">
        <v>97</v>
      </c>
      <c r="F7" s="7" t="s">
        <v>369</v>
      </c>
      <c r="G7" s="7" t="s">
        <v>129</v>
      </c>
      <c r="H7" s="7" t="s">
        <v>355</v>
      </c>
      <c r="I7" s="8" t="s">
        <v>357</v>
      </c>
      <c r="J7" s="7" t="s">
        <v>373</v>
      </c>
    </row>
    <row r="8">
      <c r="A8" s="7" t="s">
        <v>374</v>
      </c>
      <c r="B8" s="7" t="s">
        <v>103</v>
      </c>
      <c r="C8" s="7">
        <v>750.0</v>
      </c>
      <c r="D8" s="7" t="s">
        <v>106</v>
      </c>
      <c r="E8" s="7" t="s">
        <v>108</v>
      </c>
      <c r="F8" s="7" t="s">
        <v>376</v>
      </c>
      <c r="G8" s="7" t="s">
        <v>253</v>
      </c>
      <c r="H8" s="7" t="s">
        <v>355</v>
      </c>
      <c r="I8" s="8" t="s">
        <v>357</v>
      </c>
      <c r="J8" s="7" t="s">
        <v>377</v>
      </c>
    </row>
    <row r="9">
      <c r="A9" s="7" t="s">
        <v>374</v>
      </c>
      <c r="B9" s="7" t="s">
        <v>128</v>
      </c>
      <c r="C9" s="7">
        <v>760.0</v>
      </c>
      <c r="D9" s="7" t="s">
        <v>133</v>
      </c>
      <c r="E9" s="7" t="s">
        <v>134</v>
      </c>
      <c r="F9" s="7" t="s">
        <v>380</v>
      </c>
      <c r="G9" s="7" t="s">
        <v>196</v>
      </c>
      <c r="H9" s="7" t="s">
        <v>355</v>
      </c>
      <c r="I9" s="8" t="s">
        <v>357</v>
      </c>
      <c r="J9" s="7" t="s">
        <v>377</v>
      </c>
    </row>
    <row r="10">
      <c r="A10" s="7" t="s">
        <v>384</v>
      </c>
      <c r="B10" s="8" t="s">
        <v>385</v>
      </c>
      <c r="C10" s="8" t="s">
        <v>386</v>
      </c>
      <c r="D10" s="8" t="s">
        <v>387</v>
      </c>
      <c r="E10" s="7" t="s">
        <v>263</v>
      </c>
      <c r="F10" s="8" t="s">
        <v>388</v>
      </c>
      <c r="G10" s="8" t="s">
        <v>389</v>
      </c>
      <c r="H10" s="7" t="s">
        <v>355</v>
      </c>
      <c r="I10" s="8" t="s">
        <v>357</v>
      </c>
      <c r="J10" s="8" t="s">
        <v>390</v>
      </c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">
    <mergeCell ref="A1:J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